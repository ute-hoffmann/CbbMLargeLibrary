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<sst xmlns="http://schemas.openxmlformats.org/spreadsheetml/2006/main" count="8" uniqueCount="8">
  <si>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https://emea.support.illumina.com/bulletins/2016/11/converting-ngl-to-nm-when-calculating-dsdna-library-concentration-.html</t>
  </si>
  <si>
    <t xml:space="preserve">(concentration (ng/µl) / ((660g/mol)*average library size/bp)))*10^6 = concentration in nM</t>
  </si>
  <si>
    <t xml:space="preserve">Sample concentration (ng/µl)</t>
  </si>
  <si>
    <t xml:space="preserve">Average library size</t>
  </si>
  <si>
    <t xml:space="preserve">Conc. In nM</t>
  </si>
  <si>
    <t xml:space="preserve">Number of molecules/µl</t>
  </si>
  <si>
    <t xml:space="preserve">BarSeq library fragment size (Averaged after phasing primers, 184 bp prior)</t>
  </si>
  <si>
    <t xml:space="preserve">DubSeq-BarSeq library fragment size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</si>
</sst>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304200</xdr:colOff>
      <xdr:row>1</xdr:row>
      <xdr:rowOff>113760</xdr:rowOff>
    </xdr:to>
    <xdr:sp>
      <xdr:nvSpPr>
        <xdr:cNvPr id="0" name="AutoShape 1"/>
        <xdr:cNvSpPr/>
      </xdr:nvSpPr>
      <xdr:spPr>
        <a:xfrm>
          <a:off x="0" y="0"/>
          <a:ext cx="304200" cy="313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mea.support.illumina.com/bulletins/2016/11/converting-ngl-to-nm-when-calculating-dsdna-library-concentration-.htm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0.6015625" defaultRowHeight="15.75" zeroHeight="false" outlineLevelRow="0" outlineLevelCol="0"/>
  <cols>
    <col collapsed="false" customWidth="true" hidden="false" outlineLevel="0" max="1" min="1" style="0" width="25.66"/>
    <col collapsed="false" customWidth="true" hidden="false" outlineLevel="0" max="2" min="2" style="0" width="16.84"/>
    <col collapsed="false" customWidth="true" hidden="false" outlineLevel="0" max="4" min="4" style="0" width="12.18"/>
  </cols>
  <sheetData>
    <row r="1" customFormat="false" ht="15.75" hidden="false" customHeight="false" outlineLevel="0" collapsed="false">
      <c r="A1" s="1" t="s">
        <v>0</v>
      </c>
    </row>
    <row r="5" customFormat="false" ht="15.75" hidden="false" customHeight="false" outlineLevel="0" collapsed="false">
      <c r="A5" s="0" t="s">
        <v>1</v>
      </c>
    </row>
    <row r="8" customFormat="false" ht="15.75" hidden="false" customHeight="false" outlineLevel="0" collapsed="false">
      <c r="A8" s="0" t="s">
        <v>2</v>
      </c>
      <c r="B8" s="0" t="s">
        <v>3</v>
      </c>
      <c r="C8" s="0" t="s">
        <v>4</v>
      </c>
      <c r="D8" s="0" t="s">
        <v>5</v>
      </c>
    </row>
    <row r="9" customFormat="false" ht="15.75" hidden="false" customHeight="false" outlineLevel="0" collapsed="false">
      <c r="A9" s="0" t="n">
        <v>44.7</v>
      </c>
      <c r="B9" s="0" t="n">
        <v>207</v>
      </c>
      <c r="C9" s="2" t="n">
        <f aca="false">(A9/(660*B9))*1000000</f>
        <v>327.184892402284</v>
      </c>
      <c r="D9" s="0" t="n">
        <f aca="false">(C9*(6.022*10^23)/1000000)</f>
        <v>1.97030742204655E+020</v>
      </c>
      <c r="F9" s="0" t="s">
        <v>6</v>
      </c>
    </row>
    <row r="10" customFormat="false" ht="15.75" hidden="false" customHeight="false" outlineLevel="0" collapsed="false">
      <c r="A10" s="0" t="n">
        <v>2</v>
      </c>
      <c r="B10" s="0" t="n">
        <v>207</v>
      </c>
      <c r="C10" s="2" t="n">
        <f aca="false">(A10/(660*B10))*1000000</f>
        <v>14.6391450739277</v>
      </c>
      <c r="D10" s="0" t="n">
        <f aca="false">(C10*(6.022*10^23)/1000000)</f>
        <v>8.81569316351925E+018</v>
      </c>
      <c r="F10" s="0" t="s">
        <v>7</v>
      </c>
    </row>
    <row r="11" customFormat="false" ht="15.75" hidden="false" customHeight="false" outlineLevel="0" collapsed="false">
      <c r="A11" s="0" t="n">
        <v>0.273</v>
      </c>
      <c r="B11" s="0" t="n">
        <v>207</v>
      </c>
      <c r="C11" s="2" t="n">
        <f aca="false">(A11/(660*B11))*1000000</f>
        <v>1.99824330259113</v>
      </c>
      <c r="D11" s="0" t="n">
        <f aca="false">(C11*(6.022*10^23)/1000000)</f>
        <v>1.20334211682038E+018</v>
      </c>
    </row>
    <row r="12" customFormat="false" ht="15" hidden="false" customHeight="false" outlineLevel="0" collapsed="false">
      <c r="A12" s="0" t="n">
        <v>0.258</v>
      </c>
      <c r="B12" s="0" t="n">
        <v>207</v>
      </c>
      <c r="C12" s="2" t="n">
        <f aca="false">(A12/(660*B12))*1000000</f>
        <v>1.88844971453667</v>
      </c>
      <c r="D12" s="0" t="n">
        <f aca="false">(C12*(6.022*10^23)/1000000)</f>
        <v>1.13722441809398E+018</v>
      </c>
    </row>
    <row r="13" customFormat="false" ht="15" hidden="false" customHeight="false" outlineLevel="0" collapsed="false">
      <c r="A13" s="0" t="n">
        <v>0.298</v>
      </c>
      <c r="B13" s="0" t="n">
        <v>207</v>
      </c>
      <c r="C13" s="2" t="n">
        <f aca="false">(A13/(660*B13))*1000000</f>
        <v>2.18123261601522</v>
      </c>
      <c r="D13" s="0" t="n">
        <f aca="false">(C13*(6.022*10^23)/1000000)</f>
        <v>1.31353828136437E+018</v>
      </c>
    </row>
  </sheetData>
  <hyperlinks>
    <hyperlink ref="A1" r:id="rId1" display="https://emea.support.illumina.com/bulletins/2016/11/converting-ngl-to-nm-when-calculating-dsdna-library-concentration-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  <Company>KTH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2020-02-07T15:46:38Z</dcterms:created>
  <dc:creator>Lun Yao</dc:creator>
  <dc:description/>
  <dc:language>en-US</dc:language>
  <cp:lastModifiedBy/>
  <dcterms:modified xsi:type="dcterms:W3CDTF">2024-05-24T13:10:45Z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