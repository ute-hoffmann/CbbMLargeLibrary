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xelknave/Desktop/Projects/Large_libs /RubisCO/Sequencing_prep_20241105/"/>
    </mc:Choice>
  </mc:AlternateContent>
  <xr:revisionPtr revIDLastSave="0" documentId="13_ncr:1_{45E072C8-19C7-D74A-99D7-C279F760E55C}" xr6:coauthVersionLast="47" xr6:coauthVersionMax="47" xr10:uidLastSave="{00000000-0000-0000-0000-000000000000}"/>
  <bookViews>
    <workbookView xWindow="0" yWindow="500" windowWidth="33600" windowHeight="20500" tabRatio="500" activeTab="1" xr2:uid="{00000000-000D-0000-FFFF-FFFF00000000}"/>
  </bookViews>
  <sheets>
    <sheet name="MC1_DayNight" sheetId="1" r:id="rId1"/>
    <sheet name="MC2" sheetId="2" r:id="rId2"/>
    <sheet name="Sheet2" sheetId="4" r:id="rId3"/>
    <sheet name="Primer inventory " sheetId="5" r:id="rId4"/>
    <sheet name="Code_to_i5-i7" sheetId="3" r:id="rId5"/>
    <sheet name="Pool conc calc" sheetId="6" r:id="rId6"/>
    <sheet name="Sheet3" sheetId="7" r:id="rId7"/>
  </sheets>
  <definedNames>
    <definedName name="_xlnm.Print_Area" localSheetId="0">MC1_DayNight!$B$1:$I$38</definedName>
    <definedName name="_xlnm.Print_Area" localSheetId="1">'MC2'!$B$1:$I$34</definedName>
    <definedName name="_xlnm.Print_Area" localSheetId="5">'Pool conc calc'!$P$1:$T$38</definedName>
    <definedName name="_xlnm.Print_Area" localSheetId="2">Sheet2!$A$1:$F$16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7" l="1"/>
  <c r="F4" i="7"/>
  <c r="F2" i="7"/>
  <c r="G81" i="6"/>
  <c r="F77" i="6"/>
  <c r="H2" i="6"/>
  <c r="D76" i="6"/>
  <c r="F8" i="6"/>
  <c r="F18" i="6"/>
  <c r="F27" i="6"/>
  <c r="F36" i="6"/>
  <c r="F46" i="6"/>
  <c r="F55" i="6"/>
  <c r="F63" i="6"/>
  <c r="F72" i="6"/>
  <c r="D77" i="6"/>
  <c r="F9" i="6" s="1"/>
  <c r="E5" i="4"/>
  <c r="E3" i="4"/>
  <c r="E4" i="4"/>
  <c r="E2" i="4"/>
  <c r="B16" i="4"/>
  <c r="B15" i="4"/>
  <c r="B14" i="4"/>
  <c r="F71" i="6" l="1"/>
  <c r="F44" i="6"/>
  <c r="F17" i="6"/>
  <c r="F61" i="6"/>
  <c r="F34" i="6"/>
  <c r="F15" i="6"/>
  <c r="F51" i="6"/>
  <c r="F33" i="6"/>
  <c r="F5" i="6"/>
  <c r="F68" i="6"/>
  <c r="F59" i="6"/>
  <c r="F50" i="6"/>
  <c r="F41" i="6"/>
  <c r="F32" i="6"/>
  <c r="F23" i="6"/>
  <c r="F13" i="6"/>
  <c r="F4" i="6"/>
  <c r="F52" i="6"/>
  <c r="F25" i="6"/>
  <c r="F6" i="6"/>
  <c r="F69" i="6"/>
  <c r="F60" i="6"/>
  <c r="F42" i="6"/>
  <c r="F24" i="6"/>
  <c r="F14" i="6"/>
  <c r="F2" i="6"/>
  <c r="F67" i="6"/>
  <c r="F58" i="6"/>
  <c r="F49" i="6"/>
  <c r="F40" i="6"/>
  <c r="F31" i="6"/>
  <c r="F22" i="6"/>
  <c r="F12" i="6"/>
  <c r="F3" i="6"/>
  <c r="F54" i="6"/>
  <c r="F26" i="6"/>
  <c r="F70" i="6"/>
  <c r="F57" i="6"/>
  <c r="F16" i="6"/>
  <c r="F62" i="6"/>
  <c r="F35" i="6"/>
  <c r="F7" i="6"/>
  <c r="F43" i="6"/>
  <c r="F74" i="6"/>
  <c r="F66" i="6"/>
  <c r="F48" i="6"/>
  <c r="F39" i="6"/>
  <c r="F30" i="6"/>
  <c r="F21" i="6"/>
  <c r="F11" i="6"/>
  <c r="F73" i="6"/>
  <c r="F65" i="6"/>
  <c r="F56" i="6"/>
  <c r="F47" i="6"/>
  <c r="F38" i="6"/>
  <c r="F29" i="6"/>
  <c r="F20" i="6"/>
</calcChain>
</file>

<file path=xl/sharedStrings.xml><?xml version="1.0" encoding="utf-8"?>
<sst xmlns="http://schemas.openxmlformats.org/spreadsheetml/2006/main" count="1088" uniqueCount="295">
  <si>
    <t>cultivation</t>
  </si>
  <si>
    <t>MC</t>
  </si>
  <si>
    <t>Label</t>
  </si>
  <si>
    <t>Date</t>
  </si>
  <si>
    <t>Condition</t>
  </si>
  <si>
    <t>Replicate</t>
  </si>
  <si>
    <t>Code</t>
  </si>
  <si>
    <t>Code Ute suggestion</t>
  </si>
  <si>
    <t>i5</t>
  </si>
  <si>
    <t>i7</t>
  </si>
  <si>
    <t>conc after PCR 2</t>
  </si>
  <si>
    <t>vol. for pool (µl)</t>
  </si>
  <si>
    <t>20240805_MC1_measurements.csv/20240807_MC1_measurements.csv</t>
  </si>
  <si>
    <t>MC1</t>
  </si>
  <si>
    <t>MC1 #1 T0</t>
  </si>
  <si>
    <t>5% CO2, air</t>
  </si>
  <si>
    <t>MC1 #1 T4</t>
  </si>
  <si>
    <t>MC1 #1 T6</t>
  </si>
  <si>
    <t>MC1 #2 T0</t>
  </si>
  <si>
    <t>MC1 #2 T4</t>
  </si>
  <si>
    <t>This chanel died after T4</t>
  </si>
  <si>
    <t>MC1 #3 T0</t>
  </si>
  <si>
    <t>MC1 #3 T4</t>
  </si>
  <si>
    <t>MC1 #4 T0</t>
  </si>
  <si>
    <t>MC1 #4 T4</t>
  </si>
  <si>
    <t>MC1 #4 T6</t>
  </si>
  <si>
    <t>MC1 #5 T0</t>
  </si>
  <si>
    <t>MC1 #5 T4</t>
  </si>
  <si>
    <t>MC1 #5 T6</t>
  </si>
  <si>
    <t>MC1 #6 T0</t>
  </si>
  <si>
    <t>MC1 #6 T4</t>
  </si>
  <si>
    <t>MC1 #6 T6</t>
  </si>
  <si>
    <t>MC1 #7 T0</t>
  </si>
  <si>
    <t>MC1 #7 T4</t>
  </si>
  <si>
    <t>MC1 #7 T6</t>
  </si>
  <si>
    <t>MC1 #8 T0</t>
  </si>
  <si>
    <t>MC1 #8 T4</t>
  </si>
  <si>
    <t>MC1 #8 T6</t>
  </si>
  <si>
    <t>20240805_MC2_measurements.csv</t>
  </si>
  <si>
    <t>MC2</t>
  </si>
  <si>
    <t>MC2 #1 T0</t>
  </si>
  <si>
    <t>2A1</t>
  </si>
  <si>
    <t>MC2 #1 T4</t>
  </si>
  <si>
    <t>2A2</t>
  </si>
  <si>
    <t>MC2 #1 T8</t>
  </si>
  <si>
    <t>2A3</t>
  </si>
  <si>
    <t>MC2 #1 T10</t>
  </si>
  <si>
    <t>2A4</t>
  </si>
  <si>
    <t>MC2 #2 T0</t>
  </si>
  <si>
    <t>2A5</t>
  </si>
  <si>
    <t>MC2 #2 T4</t>
  </si>
  <si>
    <t>2A6</t>
  </si>
  <si>
    <t>MC2 #2 T8</t>
  </si>
  <si>
    <t>2A7</t>
  </si>
  <si>
    <t>MC2 #2 T10</t>
  </si>
  <si>
    <t>2A8</t>
  </si>
  <si>
    <t>MC2 #3 T0</t>
  </si>
  <si>
    <t>2B1</t>
  </si>
  <si>
    <t>2B4</t>
  </si>
  <si>
    <t>MC2 #3 T4</t>
  </si>
  <si>
    <t>2B2</t>
  </si>
  <si>
    <t>2B3</t>
  </si>
  <si>
    <t>MC2 #3 T8</t>
  </si>
  <si>
    <t>MC2 #3 T10</t>
  </si>
  <si>
    <t>MC2 #4 T0</t>
  </si>
  <si>
    <t>2B5</t>
  </si>
  <si>
    <t>2B8</t>
  </si>
  <si>
    <t>MC2 #4 T4</t>
  </si>
  <si>
    <t>2B6</t>
  </si>
  <si>
    <t>2B7</t>
  </si>
  <si>
    <t>MC2 #4 T8</t>
  </si>
  <si>
    <t>MC2 #4 T10</t>
  </si>
  <si>
    <t>MC2 #5 T0</t>
  </si>
  <si>
    <t>2C1</t>
  </si>
  <si>
    <t>2C3</t>
  </si>
  <si>
    <t>MC2 #5 T4</t>
  </si>
  <si>
    <t>2C2</t>
  </si>
  <si>
    <t>MC2 #5 T8</t>
  </si>
  <si>
    <t>2C4</t>
  </si>
  <si>
    <t>MC2 #5 T10</t>
  </si>
  <si>
    <t>MC2 #6 T0</t>
  </si>
  <si>
    <t>2C5</t>
  </si>
  <si>
    <t>2C7</t>
  </si>
  <si>
    <t>MC2 #6 T4</t>
  </si>
  <si>
    <t>2C6</t>
  </si>
  <si>
    <t>MC2 #6 T8</t>
  </si>
  <si>
    <t>2C8</t>
  </si>
  <si>
    <t>MC2 #6 T10</t>
  </si>
  <si>
    <t>MC2 #7 T0</t>
  </si>
  <si>
    <t>2D1</t>
  </si>
  <si>
    <t>2D2</t>
  </si>
  <si>
    <t>MC2 #7 T4</t>
  </si>
  <si>
    <t>2D4</t>
  </si>
  <si>
    <t>MC2 #7 T8</t>
  </si>
  <si>
    <t>2D3</t>
  </si>
  <si>
    <t>MC2 #7 T10</t>
  </si>
  <si>
    <t>MC2 #8 T0</t>
  </si>
  <si>
    <t>2D5</t>
  </si>
  <si>
    <t>2D6</t>
  </si>
  <si>
    <t>MC2 #8 T4</t>
  </si>
  <si>
    <t>2D8</t>
  </si>
  <si>
    <t>MC2 #8 T8</t>
  </si>
  <si>
    <t>2D7</t>
  </si>
  <si>
    <t>MC2 #8 T10</t>
  </si>
  <si>
    <t>Gen.</t>
  </si>
  <si>
    <t>MC1 #1 T5</t>
  </si>
  <si>
    <t>5?</t>
  </si>
  <si>
    <t>MC1 #4 T5</t>
  </si>
  <si>
    <t>MC1 #5 T5</t>
  </si>
  <si>
    <t>MC1 #6 T5</t>
  </si>
  <si>
    <t>MC1 #7 T5</t>
  </si>
  <si>
    <t>MC1 #8 T5</t>
  </si>
  <si>
    <t>MC1 #1 T8</t>
  </si>
  <si>
    <t>1A1</t>
  </si>
  <si>
    <t>1A2</t>
  </si>
  <si>
    <t>1A3</t>
  </si>
  <si>
    <t>1A4</t>
  </si>
  <si>
    <t>1A5</t>
  </si>
  <si>
    <t>1A6</t>
  </si>
  <si>
    <t>1A7</t>
  </si>
  <si>
    <t>MC1 #4 T8</t>
  </si>
  <si>
    <t>MC1 #5 T8</t>
  </si>
  <si>
    <t>MC1 #6 T8</t>
  </si>
  <si>
    <t>MC1 #7 T8</t>
  </si>
  <si>
    <t>MC1 #8 T8</t>
  </si>
  <si>
    <t>1B3</t>
  </si>
  <si>
    <t>1B2</t>
  </si>
  <si>
    <t>1B1</t>
  </si>
  <si>
    <t>1B4</t>
  </si>
  <si>
    <t>1B5</t>
  </si>
  <si>
    <t>1B6</t>
  </si>
  <si>
    <t>1B7</t>
  </si>
  <si>
    <t>1C3</t>
  </si>
  <si>
    <t>1C1</t>
  </si>
  <si>
    <t>1C2</t>
  </si>
  <si>
    <t>1C4</t>
  </si>
  <si>
    <t>1C8</t>
  </si>
  <si>
    <t>1C5</t>
  </si>
  <si>
    <t>1C6</t>
  </si>
  <si>
    <t>1C7</t>
  </si>
  <si>
    <t>1C9</t>
  </si>
  <si>
    <t>1C10</t>
  </si>
  <si>
    <t>1D5</t>
  </si>
  <si>
    <t>1D8</t>
  </si>
  <si>
    <t>1D4</t>
  </si>
  <si>
    <t>1D2</t>
  </si>
  <si>
    <t>1D1</t>
  </si>
  <si>
    <t>1D3</t>
  </si>
  <si>
    <t>1D10</t>
  </si>
  <si>
    <t>1D6</t>
  </si>
  <si>
    <t>1D7</t>
  </si>
  <si>
    <t>1D9</t>
  </si>
  <si>
    <t>i718</t>
  </si>
  <si>
    <t>i516</t>
  </si>
  <si>
    <t>i717</t>
  </si>
  <si>
    <t>i716</t>
  </si>
  <si>
    <t>i715</t>
  </si>
  <si>
    <t>i714</t>
  </si>
  <si>
    <t>i713</t>
  </si>
  <si>
    <t>i515</t>
  </si>
  <si>
    <t>i514</t>
  </si>
  <si>
    <t>i513</t>
  </si>
  <si>
    <t>i720</t>
  </si>
  <si>
    <t>i512</t>
  </si>
  <si>
    <t>i719</t>
  </si>
  <si>
    <t>i511</t>
  </si>
  <si>
    <t>any combination of the first dual-index primer set (i501 to i508, i701 to i712)</t>
  </si>
  <si>
    <t>any i5 primer with i721, i722, i723, i724</t>
  </si>
  <si>
    <t>i510</t>
  </si>
  <si>
    <t>Free index combinations (in case primers run out or not sure what was pipetted yet and what not)</t>
  </si>
  <si>
    <t>i509</t>
  </si>
  <si>
    <t>in each i7 tube: 40 µl → 8 * 5 µl</t>
  </si>
  <si>
    <t>in each i5 tube: 60 µl → 12 * 5 µl</t>
  </si>
  <si>
    <t xml:space="preserve">54 samples in total for cultivation </t>
  </si>
  <si>
    <t>Dual Index Kit 2 should be there and unopened (NEB #E7780S)? I509 to i516, i713 to i724</t>
  </si>
  <si>
    <t>Note: for 1st cultivation: used i701 to i712, i501 to i516 - but maybe higher i5 indices from old kit?</t>
  </si>
  <si>
    <t>Sample code</t>
  </si>
  <si>
    <t xml:space="preserve">Calculating PCR 1 mix </t>
  </si>
  <si>
    <t>NEBNext Ultra II Q5 Master Mix</t>
  </si>
  <si>
    <t>1x</t>
  </si>
  <si>
    <t>10 uM Forward Primer</t>
  </si>
  <si>
    <t>1 µM</t>
  </si>
  <si>
    <t>10 uM Reverse Primer</t>
  </si>
  <si>
    <t>Adaptor‐ligated DNA**</t>
  </si>
  <si>
    <t>Nuclease‐free water</t>
  </si>
  <si>
    <t>Total volume</t>
  </si>
  <si>
    <t>50 µl</t>
  </si>
  <si>
    <t>µl</t>
  </si>
  <si>
    <t>st</t>
  </si>
  <si>
    <t xml:space="preserve">Number of samples </t>
  </si>
  <si>
    <t>Total</t>
  </si>
  <si>
    <t xml:space="preserve">st </t>
  </si>
  <si>
    <t>Fin. conc</t>
  </si>
  <si>
    <t>-</t>
  </si>
  <si>
    <t xml:space="preserve">For all samples </t>
  </si>
  <si>
    <t>i7_1</t>
  </si>
  <si>
    <t>i7_2</t>
  </si>
  <si>
    <t>i7_3</t>
  </si>
  <si>
    <t>i7_4</t>
  </si>
  <si>
    <t>i7_5</t>
  </si>
  <si>
    <t>i7_6</t>
  </si>
  <si>
    <t>i7_7</t>
  </si>
  <si>
    <t>i7_8</t>
  </si>
  <si>
    <t>i7_9</t>
  </si>
  <si>
    <t>i7_10</t>
  </si>
  <si>
    <t>i7_11</t>
  </si>
  <si>
    <t>i7_12</t>
  </si>
  <si>
    <t>i7_13</t>
  </si>
  <si>
    <t>i7_14</t>
  </si>
  <si>
    <t>i7_15</t>
  </si>
  <si>
    <t>i7_16</t>
  </si>
  <si>
    <t>i7_17</t>
  </si>
  <si>
    <t>i7_18</t>
  </si>
  <si>
    <t>i7_19</t>
  </si>
  <si>
    <t>i7_20</t>
  </si>
  <si>
    <t>i7_21</t>
  </si>
  <si>
    <t>i7_22</t>
  </si>
  <si>
    <t>i7_23</t>
  </si>
  <si>
    <t>i7_24</t>
  </si>
  <si>
    <t>i7_25</t>
  </si>
  <si>
    <t>i7_26</t>
  </si>
  <si>
    <t>i7_27</t>
  </si>
  <si>
    <t>i7_28</t>
  </si>
  <si>
    <t>i7_29</t>
  </si>
  <si>
    <t>i7_30</t>
  </si>
  <si>
    <t>i7_31</t>
  </si>
  <si>
    <t>i7_32</t>
  </si>
  <si>
    <t>i7_33</t>
  </si>
  <si>
    <t>i7_34</t>
  </si>
  <si>
    <t>i7_35</t>
  </si>
  <si>
    <t>i7_36</t>
  </si>
  <si>
    <t>i7_37</t>
  </si>
  <si>
    <t>i7_38</t>
  </si>
  <si>
    <t>i7_39</t>
  </si>
  <si>
    <t>i7_40</t>
  </si>
  <si>
    <t>i7_41</t>
  </si>
  <si>
    <t>i7_42</t>
  </si>
  <si>
    <t>y</t>
  </si>
  <si>
    <t>OligoBox set 2</t>
  </si>
  <si>
    <t>Loose bag</t>
  </si>
  <si>
    <t>i5_1</t>
  </si>
  <si>
    <t>i5_2</t>
  </si>
  <si>
    <t>i5_3</t>
  </si>
  <si>
    <t>i5_4</t>
  </si>
  <si>
    <t>i5_5</t>
  </si>
  <si>
    <t>i5_6</t>
  </si>
  <si>
    <t>i5_7</t>
  </si>
  <si>
    <t>i5_8</t>
  </si>
  <si>
    <t>i5_9</t>
  </si>
  <si>
    <t>i5_10</t>
  </si>
  <si>
    <t>i5_11</t>
  </si>
  <si>
    <t>i5_12</t>
  </si>
  <si>
    <t>i5_13</t>
  </si>
  <si>
    <t>i5_14</t>
  </si>
  <si>
    <t>i5_15</t>
  </si>
  <si>
    <t>i5_16</t>
  </si>
  <si>
    <t>i5_17</t>
  </si>
  <si>
    <t>i5_18</t>
  </si>
  <si>
    <t>i5_19</t>
  </si>
  <si>
    <t>i5_20</t>
  </si>
  <si>
    <t>i5_21</t>
  </si>
  <si>
    <t>i5_22</t>
  </si>
  <si>
    <t>i5_23</t>
  </si>
  <si>
    <t>i5_24</t>
  </si>
  <si>
    <t>i5_25</t>
  </si>
  <si>
    <t>i5_26</t>
  </si>
  <si>
    <t>i5_27</t>
  </si>
  <si>
    <t>i5_28</t>
  </si>
  <si>
    <t>i5_29</t>
  </si>
  <si>
    <t>i5_30</t>
  </si>
  <si>
    <t>i5_31</t>
  </si>
  <si>
    <t>i5_32</t>
  </si>
  <si>
    <t>i5_33</t>
  </si>
  <si>
    <t>i5_34</t>
  </si>
  <si>
    <t>i5_35</t>
  </si>
  <si>
    <t>i5_36</t>
  </si>
  <si>
    <t>i5_37</t>
  </si>
  <si>
    <t>i5_38</t>
  </si>
  <si>
    <t>i5_39</t>
  </si>
  <si>
    <t>i5_40</t>
  </si>
  <si>
    <t>Oligobox kit 1</t>
  </si>
  <si>
    <t>Whitebox</t>
  </si>
  <si>
    <t>Concentration of random samples after PCR 1 purification</t>
  </si>
  <si>
    <t xml:space="preserve">Qbit </t>
  </si>
  <si>
    <t>2 µl sample</t>
  </si>
  <si>
    <t>ng/µl</t>
  </si>
  <si>
    <t>i722</t>
  </si>
  <si>
    <t>i721</t>
  </si>
  <si>
    <t>maximum</t>
  </si>
  <si>
    <t>5 µl of minimum</t>
  </si>
  <si>
    <t>Sample concentration (ng/µl)</t>
  </si>
  <si>
    <t>Average library size</t>
  </si>
  <si>
    <t>Conc. In nM</t>
  </si>
  <si>
    <t>Time</t>
  </si>
  <si>
    <t>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</si>
</sst>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1" x14ac:knownFonts="1">
    <font>
      <sz val="12"/>
      <color rgb="FF000000"/>
      <name val="Aptos Narrow"/>
      <family val="2"/>
      <charset val="1"/>
    </font>
    <font>
      <b/>
      <sz val="12"/>
      <color rgb="FF000000"/>
      <name val="Aptos Narrow"/>
    </font>
    <font>
      <sz val="12"/>
      <color rgb="FFFF0000"/>
      <name val="Aptos Narrow"/>
      <family val="2"/>
      <charset val="1"/>
    </font>
    <font>
      <sz val="8"/>
      <name val="Aptos Narrow"/>
      <family val="2"/>
      <charset val="1"/>
    </font>
    <font>
      <sz val="12"/>
      <color rgb="FF000000"/>
      <name val="Aptos Narrow"/>
      <family val="2"/>
    </font>
    <font>
      <sz val="11.05"/>
      <color rgb="FF212529"/>
      <name val="Arial"/>
      <family val="2"/>
    </font>
    <font>
      <b/>
      <sz val="11.05"/>
      <color rgb="FF212529"/>
      <name val="Arial"/>
      <family val="2"/>
    </font>
    <font>
      <b/>
      <sz val="16"/>
      <color rgb="FF000000"/>
      <name val="Aptos Narrow"/>
    </font>
    <font>
      <sz val="16"/>
      <color rgb="FF000000"/>
      <name val="Aptos Narrow"/>
    </font>
    <font>
      <b/>
      <sz val="14"/>
      <color rgb="FF000000"/>
      <name val="Aptos Narrow"/>
    </font>
    <font>
      <b/>
      <sz val="20"/>
      <color rgb="FFFF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theme="0"/>
        <bgColor rgb="FFCC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DDDDDD"/>
        <bgColor rgb="FFF2CFEE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0" xfId="0" applyFill="1"/>
    <xf numFmtId="0" fontId="2" fillId="2" borderId="0" xfId="0" applyFont="1" applyFill="1"/>
    <xf numFmtId="0" fontId="0" fillId="0" borderId="2" xfId="0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6" xfId="0" applyFont="1" applyBorder="1"/>
    <xf numFmtId="0" fontId="0" fillId="0" borderId="6" xfId="0" applyBorder="1"/>
    <xf numFmtId="0" fontId="5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3" xfId="0" applyBorder="1"/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center" wrapText="1"/>
    </xf>
    <xf numFmtId="0" fontId="0" fillId="9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6" xfId="0" applyFill="1" applyBorder="1"/>
    <xf numFmtId="172" fontId="0" fillId="9" borderId="0" xfId="0" applyNumberFormat="1" applyFill="1" applyAlignment="1">
      <alignment horizontal="center"/>
    </xf>
    <xf numFmtId="172" fontId="0" fillId="9" borderId="6" xfId="0" applyNumberFormat="1" applyFill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/>
    <xf numFmtId="172" fontId="0" fillId="0" borderId="0" xfId="0" applyNumberFormat="1" applyAlignment="1">
      <alignment horizontal="center"/>
    </xf>
    <xf numFmtId="172" fontId="0" fillId="0" borderId="6" xfId="0" applyNumberFormat="1" applyBorder="1" applyAlignment="1">
      <alignment horizontal="center"/>
    </xf>
    <xf numFmtId="172" fontId="0" fillId="0" borderId="0" xfId="0" applyNumberFormat="1"/>
    <xf numFmtId="0" fontId="10" fillId="2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20" fontId="1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opLeftCell="B1" zoomScale="144" zoomScaleNormal="100" workbookViewId="0">
      <selection activeCell="O1" sqref="O1:P6"/>
    </sheetView>
  </sheetViews>
  <sheetFormatPr baseColWidth="10" defaultColWidth="10.5" defaultRowHeight="16" x14ac:dyDescent="0.2"/>
  <cols>
    <col min="1" max="1" width="60.6640625" customWidth="1"/>
    <col min="2" max="2" width="5" bestFit="1" customWidth="1"/>
    <col min="3" max="3" width="13.33203125" style="6" customWidth="1"/>
    <col min="4" max="4" width="9.5" bestFit="1" customWidth="1"/>
    <col min="5" max="5" width="10.6640625" bestFit="1" customWidth="1"/>
    <col min="6" max="6" width="5" bestFit="1" customWidth="1"/>
    <col min="7" max="7" width="9" bestFit="1" customWidth="1"/>
    <col min="8" max="8" width="5.5" hidden="1" customWidth="1"/>
    <col min="9" max="9" width="17.6640625" style="6" bestFit="1" customWidth="1"/>
    <col min="15" max="15" width="17.1640625" bestFit="1" customWidth="1"/>
  </cols>
  <sheetData>
    <row r="1" spans="1:16" ht="27" x14ac:dyDescent="0.35">
      <c r="A1" s="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104</v>
      </c>
      <c r="G1" t="s">
        <v>5</v>
      </c>
      <c r="H1" t="s">
        <v>6</v>
      </c>
      <c r="I1" s="6" t="s">
        <v>7</v>
      </c>
      <c r="J1" t="s">
        <v>8</v>
      </c>
      <c r="K1" t="s">
        <v>9</v>
      </c>
      <c r="L1" t="s">
        <v>10</v>
      </c>
      <c r="M1" t="s">
        <v>11</v>
      </c>
      <c r="O1" s="60" t="s">
        <v>294</v>
      </c>
      <c r="P1" s="60" t="s">
        <v>293</v>
      </c>
    </row>
    <row r="2" spans="1:16" ht="27" x14ac:dyDescent="0.35">
      <c r="A2" s="2" t="s">
        <v>12</v>
      </c>
      <c r="B2" s="2" t="s">
        <v>13</v>
      </c>
      <c r="C2" s="7" t="s">
        <v>14</v>
      </c>
      <c r="D2" s="2">
        <v>20240806</v>
      </c>
      <c r="E2" s="2" t="s">
        <v>15</v>
      </c>
      <c r="F2" s="7">
        <v>0</v>
      </c>
      <c r="G2" s="2">
        <v>1</v>
      </c>
      <c r="H2" s="2"/>
      <c r="I2" s="7" t="s">
        <v>113</v>
      </c>
      <c r="J2" s="2"/>
      <c r="K2" s="2"/>
      <c r="L2" s="2"/>
      <c r="M2" s="2"/>
      <c r="O2" s="59">
        <v>0</v>
      </c>
      <c r="P2" s="61">
        <v>0.625</v>
      </c>
    </row>
    <row r="3" spans="1:16" ht="27" x14ac:dyDescent="0.35">
      <c r="A3" t="s">
        <v>12</v>
      </c>
      <c r="B3" t="s">
        <v>13</v>
      </c>
      <c r="C3" s="6" t="s">
        <v>16</v>
      </c>
      <c r="D3">
        <v>20240813</v>
      </c>
      <c r="E3" t="s">
        <v>15</v>
      </c>
      <c r="F3" s="6">
        <v>4</v>
      </c>
      <c r="G3">
        <v>1</v>
      </c>
      <c r="I3" s="6" t="s">
        <v>114</v>
      </c>
      <c r="O3" s="60">
        <v>4</v>
      </c>
      <c r="P3" s="61">
        <v>0.375</v>
      </c>
    </row>
    <row r="4" spans="1:16" ht="27" x14ac:dyDescent="0.35">
      <c r="A4" s="2" t="s">
        <v>12</v>
      </c>
      <c r="B4" s="2" t="s">
        <v>13</v>
      </c>
      <c r="C4" s="7" t="s">
        <v>105</v>
      </c>
      <c r="D4" s="2">
        <v>20240817</v>
      </c>
      <c r="E4" s="2" t="s">
        <v>15</v>
      </c>
      <c r="F4" s="7" t="s">
        <v>106</v>
      </c>
      <c r="G4" s="2">
        <v>1</v>
      </c>
      <c r="H4" s="3"/>
      <c r="I4" s="8" t="s">
        <v>115</v>
      </c>
      <c r="J4" s="3"/>
      <c r="K4" s="3"/>
      <c r="L4" s="3"/>
      <c r="M4" s="3"/>
      <c r="O4" s="59" t="s">
        <v>106</v>
      </c>
      <c r="P4" s="61">
        <v>0.5</v>
      </c>
    </row>
    <row r="5" spans="1:16" ht="27" x14ac:dyDescent="0.35">
      <c r="A5" t="s">
        <v>12</v>
      </c>
      <c r="B5" t="s">
        <v>13</v>
      </c>
      <c r="C5" t="s">
        <v>17</v>
      </c>
      <c r="D5">
        <v>20240821</v>
      </c>
      <c r="E5" t="s">
        <v>15</v>
      </c>
      <c r="F5">
        <v>6</v>
      </c>
      <c r="G5">
        <v>1</v>
      </c>
      <c r="I5" s="6" t="s">
        <v>116</v>
      </c>
      <c r="O5" s="60">
        <v>6</v>
      </c>
      <c r="P5" s="61">
        <v>0.64583333333333337</v>
      </c>
    </row>
    <row r="6" spans="1:16" ht="27" x14ac:dyDescent="0.35">
      <c r="A6" t="s">
        <v>12</v>
      </c>
      <c r="B6" t="s">
        <v>13</v>
      </c>
      <c r="C6" t="s">
        <v>112</v>
      </c>
      <c r="E6" t="s">
        <v>15</v>
      </c>
      <c r="F6">
        <v>8</v>
      </c>
      <c r="G6">
        <v>1</v>
      </c>
      <c r="I6" s="6" t="s">
        <v>117</v>
      </c>
      <c r="O6" s="60">
        <v>8</v>
      </c>
      <c r="P6" s="61">
        <v>0.5625</v>
      </c>
    </row>
    <row r="7" spans="1:16" x14ac:dyDescent="0.2">
      <c r="A7" s="3" t="s">
        <v>12</v>
      </c>
      <c r="B7" s="3" t="s">
        <v>13</v>
      </c>
      <c r="C7" s="8" t="s">
        <v>18</v>
      </c>
      <c r="D7" s="2">
        <v>20240806</v>
      </c>
      <c r="E7" s="3" t="s">
        <v>15</v>
      </c>
      <c r="F7" s="8">
        <v>0</v>
      </c>
      <c r="G7" s="3">
        <v>2</v>
      </c>
      <c r="H7" s="3"/>
      <c r="I7" s="8" t="s">
        <v>118</v>
      </c>
      <c r="J7" s="3"/>
      <c r="K7" s="3"/>
      <c r="L7" s="3"/>
      <c r="M7" s="3"/>
    </row>
    <row r="8" spans="1:16" x14ac:dyDescent="0.2">
      <c r="A8" t="s">
        <v>12</v>
      </c>
      <c r="B8" t="s">
        <v>13</v>
      </c>
      <c r="C8" s="6" t="s">
        <v>19</v>
      </c>
      <c r="D8">
        <v>20240813</v>
      </c>
      <c r="E8" t="s">
        <v>15</v>
      </c>
      <c r="F8" s="6">
        <v>4</v>
      </c>
      <c r="G8">
        <v>2</v>
      </c>
      <c r="I8" s="6" t="s">
        <v>119</v>
      </c>
    </row>
    <row r="9" spans="1:16" x14ac:dyDescent="0.2">
      <c r="A9" s="4" t="s">
        <v>20</v>
      </c>
      <c r="B9" s="3"/>
      <c r="C9" s="8"/>
      <c r="D9" s="3"/>
      <c r="E9" s="3"/>
      <c r="F9" s="8"/>
      <c r="G9" s="3"/>
      <c r="H9" s="3"/>
      <c r="I9" s="8"/>
      <c r="J9" s="3"/>
      <c r="K9" s="3"/>
      <c r="L9" s="3"/>
      <c r="M9" s="3"/>
    </row>
    <row r="10" spans="1:16" x14ac:dyDescent="0.2">
      <c r="A10" s="10" t="s">
        <v>12</v>
      </c>
      <c r="B10" s="10" t="s">
        <v>13</v>
      </c>
      <c r="C10" s="11" t="s">
        <v>21</v>
      </c>
      <c r="D10" s="10">
        <v>20240806</v>
      </c>
      <c r="E10" s="10" t="s">
        <v>15</v>
      </c>
      <c r="F10" s="11">
        <v>0</v>
      </c>
      <c r="G10" s="10">
        <v>3</v>
      </c>
      <c r="H10" s="10"/>
      <c r="I10" s="11" t="s">
        <v>125</v>
      </c>
      <c r="J10" s="10"/>
      <c r="K10" s="10"/>
      <c r="L10" s="10"/>
      <c r="M10" s="10"/>
    </row>
    <row r="11" spans="1:16" x14ac:dyDescent="0.2">
      <c r="A11" s="3" t="s">
        <v>12</v>
      </c>
      <c r="B11" s="3" t="s">
        <v>13</v>
      </c>
      <c r="C11" s="3" t="s">
        <v>22</v>
      </c>
      <c r="D11" s="3">
        <v>20240813</v>
      </c>
      <c r="E11" s="3" t="s">
        <v>15</v>
      </c>
      <c r="F11" s="3">
        <v>4</v>
      </c>
      <c r="G11" s="3">
        <v>3</v>
      </c>
      <c r="H11" s="3"/>
      <c r="I11" s="8" t="s">
        <v>126</v>
      </c>
      <c r="J11" s="3"/>
      <c r="K11" s="3"/>
      <c r="L11" s="3"/>
      <c r="M11" s="3"/>
    </row>
    <row r="12" spans="1:16" x14ac:dyDescent="0.2">
      <c r="A12" s="12" t="s">
        <v>20</v>
      </c>
      <c r="B12" s="13"/>
      <c r="C12" s="14"/>
      <c r="D12" s="13"/>
      <c r="E12" s="13"/>
      <c r="F12" s="14"/>
      <c r="G12" s="13"/>
      <c r="H12" s="13"/>
      <c r="I12" s="22"/>
      <c r="J12" s="13"/>
      <c r="K12" s="13"/>
      <c r="L12" s="13"/>
      <c r="M12" s="13"/>
    </row>
    <row r="13" spans="1:16" x14ac:dyDescent="0.2">
      <c r="A13" s="3" t="s">
        <v>12</v>
      </c>
      <c r="B13" s="3" t="s">
        <v>13</v>
      </c>
      <c r="C13" s="8" t="s">
        <v>23</v>
      </c>
      <c r="D13" s="2">
        <v>20240806</v>
      </c>
      <c r="E13" s="3" t="s">
        <v>15</v>
      </c>
      <c r="F13" s="8">
        <v>0</v>
      </c>
      <c r="G13" s="3">
        <v>4</v>
      </c>
      <c r="H13" s="3"/>
      <c r="I13" s="23" t="s">
        <v>127</v>
      </c>
      <c r="J13" s="3"/>
      <c r="K13" s="3"/>
      <c r="L13" s="3"/>
      <c r="M13" s="3"/>
    </row>
    <row r="14" spans="1:16" x14ac:dyDescent="0.2">
      <c r="A14" t="s">
        <v>12</v>
      </c>
      <c r="B14" t="s">
        <v>13</v>
      </c>
      <c r="C14" s="6" t="s">
        <v>24</v>
      </c>
      <c r="D14">
        <v>20240813</v>
      </c>
      <c r="E14" t="s">
        <v>15</v>
      </c>
      <c r="F14" s="6">
        <v>4</v>
      </c>
      <c r="G14">
        <v>4</v>
      </c>
      <c r="I14" s="21" t="s">
        <v>131</v>
      </c>
    </row>
    <row r="15" spans="1:16" x14ac:dyDescent="0.2">
      <c r="A15" s="3" t="s">
        <v>12</v>
      </c>
      <c r="B15" s="3" t="s">
        <v>13</v>
      </c>
      <c r="C15" s="3" t="s">
        <v>107</v>
      </c>
      <c r="D15" s="3">
        <v>20240817</v>
      </c>
      <c r="E15" s="3" t="s">
        <v>15</v>
      </c>
      <c r="F15" s="3" t="s">
        <v>106</v>
      </c>
      <c r="G15" s="3">
        <v>4</v>
      </c>
      <c r="H15" s="3"/>
      <c r="I15" s="23" t="s">
        <v>130</v>
      </c>
      <c r="J15" s="3"/>
      <c r="K15" s="3"/>
      <c r="L15" s="3"/>
      <c r="M15" s="3"/>
    </row>
    <row r="16" spans="1:16" x14ac:dyDescent="0.2">
      <c r="A16" s="13" t="s">
        <v>12</v>
      </c>
      <c r="B16" s="13" t="s">
        <v>13</v>
      </c>
      <c r="C16" s="14" t="s">
        <v>25</v>
      </c>
      <c r="D16" s="13">
        <v>20240821</v>
      </c>
      <c r="E16" s="13" t="s">
        <v>15</v>
      </c>
      <c r="F16" s="14">
        <v>6</v>
      </c>
      <c r="G16" s="13">
        <v>4</v>
      </c>
      <c r="H16" s="13"/>
      <c r="I16" s="22" t="s">
        <v>129</v>
      </c>
      <c r="J16" s="13"/>
      <c r="K16" s="13"/>
      <c r="L16" s="13"/>
      <c r="M16" s="13"/>
    </row>
    <row r="17" spans="1:13" ht="17" thickBot="1" x14ac:dyDescent="0.25">
      <c r="A17" s="3" t="s">
        <v>12</v>
      </c>
      <c r="B17" s="3" t="s">
        <v>13</v>
      </c>
      <c r="C17" s="3" t="s">
        <v>120</v>
      </c>
      <c r="D17" s="3"/>
      <c r="E17" s="3" t="s">
        <v>15</v>
      </c>
      <c r="F17" s="3">
        <v>8</v>
      </c>
      <c r="G17" s="3">
        <v>4</v>
      </c>
      <c r="H17" s="3"/>
      <c r="I17" s="22" t="s">
        <v>128</v>
      </c>
      <c r="J17" s="13"/>
      <c r="K17" s="13"/>
      <c r="L17" s="13"/>
      <c r="M17" s="13"/>
    </row>
    <row r="18" spans="1:13" ht="17" thickBot="1" x14ac:dyDescent="0.25">
      <c r="A18" s="15" t="s">
        <v>0</v>
      </c>
      <c r="B18" s="16" t="s">
        <v>1</v>
      </c>
      <c r="C18" s="17" t="s">
        <v>2</v>
      </c>
      <c r="D18" s="16" t="s">
        <v>3</v>
      </c>
      <c r="E18" s="16" t="s">
        <v>4</v>
      </c>
      <c r="F18" s="17" t="s">
        <v>104</v>
      </c>
      <c r="G18" s="16" t="s">
        <v>5</v>
      </c>
      <c r="H18" s="18"/>
      <c r="I18" s="19"/>
      <c r="J18" s="18"/>
      <c r="K18" s="18"/>
      <c r="L18" s="18" t="s">
        <v>10</v>
      </c>
      <c r="M18" s="20" t="s">
        <v>11</v>
      </c>
    </row>
    <row r="19" spans="1:13" x14ac:dyDescent="0.2">
      <c r="A19" s="3" t="s">
        <v>12</v>
      </c>
      <c r="B19" s="3" t="s">
        <v>13</v>
      </c>
      <c r="C19" s="8" t="s">
        <v>26</v>
      </c>
      <c r="D19" s="3">
        <v>20240806</v>
      </c>
      <c r="E19" s="3" t="s">
        <v>15</v>
      </c>
      <c r="F19" s="8">
        <v>0</v>
      </c>
      <c r="G19" s="3">
        <v>5</v>
      </c>
      <c r="H19" s="3"/>
      <c r="I19" s="8" t="s">
        <v>132</v>
      </c>
      <c r="J19" s="3"/>
      <c r="K19" s="3"/>
      <c r="L19" s="3"/>
      <c r="M19" s="3"/>
    </row>
    <row r="20" spans="1:13" x14ac:dyDescent="0.2">
      <c r="A20" t="s">
        <v>12</v>
      </c>
      <c r="B20" t="s">
        <v>13</v>
      </c>
      <c r="C20" s="6" t="s">
        <v>27</v>
      </c>
      <c r="D20">
        <v>20240813</v>
      </c>
      <c r="E20" t="s">
        <v>15</v>
      </c>
      <c r="F20" s="6">
        <v>4</v>
      </c>
      <c r="G20">
        <v>5</v>
      </c>
      <c r="I20" s="6" t="s">
        <v>133</v>
      </c>
    </row>
    <row r="21" spans="1:13" x14ac:dyDescent="0.2">
      <c r="A21" s="3" t="s">
        <v>12</v>
      </c>
      <c r="B21" s="3" t="s">
        <v>13</v>
      </c>
      <c r="C21" s="8" t="s">
        <v>108</v>
      </c>
      <c r="D21" s="3">
        <v>20240817</v>
      </c>
      <c r="E21" s="3" t="s">
        <v>15</v>
      </c>
      <c r="F21" s="8" t="s">
        <v>106</v>
      </c>
      <c r="G21" s="3">
        <v>5</v>
      </c>
      <c r="H21" s="3"/>
      <c r="I21" s="8" t="s">
        <v>134</v>
      </c>
    </row>
    <row r="22" spans="1:13" x14ac:dyDescent="0.2">
      <c r="A22" s="3" t="s">
        <v>12</v>
      </c>
      <c r="B22" s="3" t="s">
        <v>13</v>
      </c>
      <c r="C22" s="8" t="s">
        <v>28</v>
      </c>
      <c r="D22" s="3">
        <v>20240821</v>
      </c>
      <c r="E22" s="3" t="s">
        <v>15</v>
      </c>
      <c r="F22" s="8">
        <v>6</v>
      </c>
      <c r="G22" s="3">
        <v>5</v>
      </c>
      <c r="H22" s="3"/>
      <c r="I22" s="8" t="s">
        <v>135</v>
      </c>
      <c r="J22" s="3"/>
      <c r="K22" s="3"/>
      <c r="L22" s="3"/>
      <c r="M22" s="3"/>
    </row>
    <row r="23" spans="1:13" x14ac:dyDescent="0.2">
      <c r="A23" s="3" t="s">
        <v>12</v>
      </c>
      <c r="B23" s="3" t="s">
        <v>13</v>
      </c>
      <c r="C23" s="8" t="s">
        <v>121</v>
      </c>
      <c r="D23" s="3"/>
      <c r="E23" s="3" t="s">
        <v>15</v>
      </c>
      <c r="F23" s="8">
        <v>8</v>
      </c>
      <c r="G23" s="3">
        <v>5</v>
      </c>
      <c r="H23" s="3"/>
      <c r="I23" s="8" t="s">
        <v>136</v>
      </c>
      <c r="J23" s="3"/>
      <c r="K23" s="3"/>
      <c r="L23" s="3"/>
      <c r="M23" s="3"/>
    </row>
    <row r="24" spans="1:13" x14ac:dyDescent="0.2">
      <c r="A24" s="3" t="s">
        <v>12</v>
      </c>
      <c r="B24" s="3" t="s">
        <v>13</v>
      </c>
      <c r="C24" s="8" t="s">
        <v>29</v>
      </c>
      <c r="D24" s="2">
        <v>20240806</v>
      </c>
      <c r="E24" s="3" t="s">
        <v>15</v>
      </c>
      <c r="F24" s="8">
        <v>0</v>
      </c>
      <c r="G24" s="3">
        <v>6</v>
      </c>
      <c r="H24" s="3"/>
      <c r="I24" s="8" t="s">
        <v>137</v>
      </c>
      <c r="J24" s="3"/>
      <c r="K24" s="3"/>
      <c r="L24" s="3"/>
      <c r="M24" s="3"/>
    </row>
    <row r="25" spans="1:13" x14ac:dyDescent="0.2">
      <c r="A25" t="s">
        <v>12</v>
      </c>
      <c r="B25" t="s">
        <v>13</v>
      </c>
      <c r="C25" s="6" t="s">
        <v>30</v>
      </c>
      <c r="D25">
        <v>20240813</v>
      </c>
      <c r="E25" t="s">
        <v>15</v>
      </c>
      <c r="F25" s="6">
        <v>4</v>
      </c>
      <c r="G25">
        <v>6</v>
      </c>
      <c r="I25" s="6" t="s">
        <v>138</v>
      </c>
    </row>
    <row r="26" spans="1:13" x14ac:dyDescent="0.2">
      <c r="A26" t="s">
        <v>12</v>
      </c>
      <c r="B26" t="s">
        <v>13</v>
      </c>
      <c r="C26" s="6" t="s">
        <v>109</v>
      </c>
      <c r="D26">
        <v>20240817</v>
      </c>
      <c r="E26" t="s">
        <v>15</v>
      </c>
      <c r="F26" s="6">
        <v>5</v>
      </c>
      <c r="G26">
        <v>6</v>
      </c>
      <c r="I26" s="6" t="s">
        <v>139</v>
      </c>
    </row>
    <row r="27" spans="1:13" x14ac:dyDescent="0.2">
      <c r="A27" s="3" t="s">
        <v>12</v>
      </c>
      <c r="B27" s="3" t="s">
        <v>13</v>
      </c>
      <c r="C27" s="8" t="s">
        <v>31</v>
      </c>
      <c r="D27" s="3">
        <v>20240821</v>
      </c>
      <c r="E27" s="3" t="s">
        <v>15</v>
      </c>
      <c r="F27" s="8">
        <v>6</v>
      </c>
      <c r="G27" s="3">
        <v>6</v>
      </c>
      <c r="H27" s="3"/>
      <c r="I27" s="8" t="s">
        <v>140</v>
      </c>
      <c r="J27" s="3"/>
      <c r="K27" s="3"/>
      <c r="L27" s="3"/>
      <c r="M27" s="3"/>
    </row>
    <row r="28" spans="1:13" x14ac:dyDescent="0.2">
      <c r="A28" t="s">
        <v>12</v>
      </c>
      <c r="B28" t="s">
        <v>13</v>
      </c>
      <c r="C28" s="6" t="s">
        <v>122</v>
      </c>
      <c r="E28" t="s">
        <v>15</v>
      </c>
      <c r="F28" s="6">
        <v>8</v>
      </c>
      <c r="G28" s="3">
        <v>6</v>
      </c>
      <c r="H28" s="3"/>
      <c r="I28" s="8" t="s">
        <v>141</v>
      </c>
      <c r="J28" s="3"/>
      <c r="K28" s="3"/>
      <c r="L28" s="3"/>
      <c r="M28" s="3"/>
    </row>
    <row r="29" spans="1:13" x14ac:dyDescent="0.2">
      <c r="A29" s="2" t="s">
        <v>12</v>
      </c>
      <c r="B29" s="2" t="s">
        <v>13</v>
      </c>
      <c r="C29" s="7" t="s">
        <v>32</v>
      </c>
      <c r="D29" s="2">
        <v>20240806</v>
      </c>
      <c r="E29" s="2" t="s">
        <v>15</v>
      </c>
      <c r="F29" s="7">
        <v>0</v>
      </c>
      <c r="G29" s="2">
        <v>7</v>
      </c>
      <c r="H29" s="2"/>
      <c r="I29" s="7" t="s">
        <v>142</v>
      </c>
      <c r="J29" s="2"/>
      <c r="K29" s="2"/>
      <c r="L29" s="2"/>
      <c r="M29" s="2"/>
    </row>
    <row r="30" spans="1:13" x14ac:dyDescent="0.2">
      <c r="A30" t="s">
        <v>12</v>
      </c>
      <c r="B30" t="s">
        <v>13</v>
      </c>
      <c r="C30" s="6" t="s">
        <v>33</v>
      </c>
      <c r="D30">
        <v>20240813</v>
      </c>
      <c r="E30" t="s">
        <v>15</v>
      </c>
      <c r="F30" s="6">
        <v>4</v>
      </c>
      <c r="G30">
        <v>7</v>
      </c>
      <c r="I30" s="6" t="s">
        <v>143</v>
      </c>
    </row>
    <row r="31" spans="1:13" x14ac:dyDescent="0.2">
      <c r="A31" s="3" t="s">
        <v>12</v>
      </c>
      <c r="B31" s="3" t="s">
        <v>13</v>
      </c>
      <c r="C31" s="8" t="s">
        <v>110</v>
      </c>
      <c r="D31" s="3">
        <v>20240817</v>
      </c>
      <c r="E31" s="3" t="s">
        <v>15</v>
      </c>
      <c r="F31" s="8" t="s">
        <v>106</v>
      </c>
      <c r="G31" s="3">
        <v>7</v>
      </c>
      <c r="I31" s="6" t="s">
        <v>144</v>
      </c>
    </row>
    <row r="32" spans="1:13" x14ac:dyDescent="0.2">
      <c r="A32" s="3" t="s">
        <v>12</v>
      </c>
      <c r="B32" s="3" t="s">
        <v>13</v>
      </c>
      <c r="C32" s="8" t="s">
        <v>34</v>
      </c>
      <c r="D32" s="3">
        <v>20240821</v>
      </c>
      <c r="E32" s="3" t="s">
        <v>15</v>
      </c>
      <c r="F32" s="8">
        <v>6</v>
      </c>
      <c r="G32" s="3">
        <v>7</v>
      </c>
      <c r="H32" s="3"/>
      <c r="I32" s="8" t="s">
        <v>145</v>
      </c>
      <c r="J32" s="3"/>
      <c r="K32" s="3"/>
      <c r="L32" s="3"/>
      <c r="M32" s="3"/>
    </row>
    <row r="33" spans="1:13" x14ac:dyDescent="0.2">
      <c r="A33" s="3" t="s">
        <v>12</v>
      </c>
      <c r="B33" s="3" t="s">
        <v>13</v>
      </c>
      <c r="C33" s="8" t="s">
        <v>123</v>
      </c>
      <c r="D33" s="3"/>
      <c r="E33" s="3" t="s">
        <v>15</v>
      </c>
      <c r="F33" s="8">
        <v>8</v>
      </c>
      <c r="G33" s="3">
        <v>7</v>
      </c>
      <c r="H33" s="3"/>
      <c r="I33" s="8" t="s">
        <v>146</v>
      </c>
      <c r="J33" s="3"/>
      <c r="K33" s="3"/>
      <c r="L33" s="3"/>
      <c r="M33" s="3"/>
    </row>
    <row r="34" spans="1:13" x14ac:dyDescent="0.2">
      <c r="A34" s="3" t="s">
        <v>12</v>
      </c>
      <c r="B34" s="3" t="s">
        <v>13</v>
      </c>
      <c r="C34" s="8" t="s">
        <v>35</v>
      </c>
      <c r="D34" s="2">
        <v>20240806</v>
      </c>
      <c r="E34" s="3" t="s">
        <v>15</v>
      </c>
      <c r="F34" s="8">
        <v>0</v>
      </c>
      <c r="G34" s="3">
        <v>8</v>
      </c>
      <c r="H34" s="3"/>
      <c r="I34" s="8" t="s">
        <v>147</v>
      </c>
      <c r="J34" s="3"/>
      <c r="K34" s="3"/>
      <c r="L34" s="3"/>
      <c r="M34" s="3"/>
    </row>
    <row r="35" spans="1:13" x14ac:dyDescent="0.2">
      <c r="A35" t="s">
        <v>12</v>
      </c>
      <c r="B35" t="s">
        <v>13</v>
      </c>
      <c r="C35" s="6" t="s">
        <v>36</v>
      </c>
      <c r="D35">
        <v>20240813</v>
      </c>
      <c r="E35" t="s">
        <v>15</v>
      </c>
      <c r="F35" s="6">
        <v>4</v>
      </c>
      <c r="G35">
        <v>8</v>
      </c>
      <c r="I35" s="6" t="s">
        <v>148</v>
      </c>
    </row>
    <row r="36" spans="1:13" x14ac:dyDescent="0.2">
      <c r="A36" t="s">
        <v>12</v>
      </c>
      <c r="B36" t="s">
        <v>13</v>
      </c>
      <c r="C36" s="6" t="s">
        <v>111</v>
      </c>
      <c r="D36">
        <v>20240817</v>
      </c>
      <c r="E36" t="s">
        <v>15</v>
      </c>
      <c r="F36" s="6" t="s">
        <v>106</v>
      </c>
      <c r="G36">
        <v>8</v>
      </c>
      <c r="I36" s="6" t="s">
        <v>149</v>
      </c>
    </row>
    <row r="37" spans="1:13" x14ac:dyDescent="0.2">
      <c r="A37" s="3" t="s">
        <v>12</v>
      </c>
      <c r="B37" s="3" t="s">
        <v>13</v>
      </c>
      <c r="C37" s="8" t="s">
        <v>37</v>
      </c>
      <c r="D37" s="3">
        <v>20240821</v>
      </c>
      <c r="E37" s="3" t="s">
        <v>15</v>
      </c>
      <c r="F37" s="8">
        <v>6</v>
      </c>
      <c r="G37" s="3">
        <v>8</v>
      </c>
      <c r="H37" s="3"/>
      <c r="I37" s="8" t="s">
        <v>150</v>
      </c>
      <c r="J37" s="3"/>
      <c r="K37" s="3"/>
      <c r="L37" s="3"/>
      <c r="M37" s="3"/>
    </row>
    <row r="38" spans="1:13" x14ac:dyDescent="0.2">
      <c r="A38" s="3" t="s">
        <v>12</v>
      </c>
      <c r="B38" s="3" t="s">
        <v>13</v>
      </c>
      <c r="C38" s="8" t="s">
        <v>124</v>
      </c>
      <c r="D38" s="3">
        <v>20240821</v>
      </c>
      <c r="E38" s="3" t="s">
        <v>15</v>
      </c>
      <c r="F38" s="8">
        <v>8</v>
      </c>
      <c r="G38" s="3">
        <v>8</v>
      </c>
      <c r="I38" s="6" t="s">
        <v>151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tabSelected="1" zoomScale="107" zoomScaleNormal="107" workbookViewId="0">
      <selection activeCell="P6" sqref="P6"/>
    </sheetView>
  </sheetViews>
  <sheetFormatPr baseColWidth="10" defaultColWidth="10.5" defaultRowHeight="16" x14ac:dyDescent="0.2"/>
  <cols>
    <col min="1" max="1" width="30.33203125" customWidth="1"/>
    <col min="2" max="2" width="5.1640625" bestFit="1" customWidth="1"/>
    <col min="3" max="3" width="16" style="6" customWidth="1"/>
    <col min="5" max="5" width="10.6640625" hidden="1" customWidth="1"/>
    <col min="6" max="6" width="5.1640625" bestFit="1" customWidth="1"/>
    <col min="7" max="7" width="9" bestFit="1" customWidth="1"/>
    <col min="8" max="8" width="0" hidden="1" customWidth="1"/>
    <col min="9" max="9" width="17.6640625" style="6" bestFit="1" customWidth="1"/>
    <col min="15" max="15" width="17.1640625" bestFit="1" customWidth="1"/>
  </cols>
  <sheetData>
    <row r="1" spans="1:16" ht="27" x14ac:dyDescent="0.35">
      <c r="A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104</v>
      </c>
      <c r="G1" t="s">
        <v>5</v>
      </c>
      <c r="H1" t="s">
        <v>6</v>
      </c>
      <c r="I1" s="6" t="s">
        <v>7</v>
      </c>
      <c r="J1" t="s">
        <v>8</v>
      </c>
      <c r="K1" t="s">
        <v>9</v>
      </c>
      <c r="L1" t="s">
        <v>10</v>
      </c>
      <c r="M1" t="s">
        <v>11</v>
      </c>
      <c r="O1" s="60" t="s">
        <v>294</v>
      </c>
      <c r="P1" s="60" t="s">
        <v>293</v>
      </c>
    </row>
    <row r="2" spans="1:16" ht="27" x14ac:dyDescent="0.35">
      <c r="A2" s="2" t="s">
        <v>38</v>
      </c>
      <c r="B2" s="2" t="s">
        <v>39</v>
      </c>
      <c r="C2" s="7" t="s">
        <v>40</v>
      </c>
      <c r="D2" s="2">
        <v>20240806</v>
      </c>
      <c r="E2" s="2" t="s">
        <v>15</v>
      </c>
      <c r="F2" s="2">
        <v>0</v>
      </c>
      <c r="G2" s="2">
        <v>1</v>
      </c>
      <c r="H2" s="2" t="s">
        <v>41</v>
      </c>
      <c r="I2" s="7" t="s">
        <v>41</v>
      </c>
      <c r="J2" s="2"/>
      <c r="K2" s="2"/>
      <c r="L2" s="2"/>
      <c r="M2" s="2"/>
      <c r="O2" s="59">
        <v>0</v>
      </c>
      <c r="P2" s="61">
        <v>0.625</v>
      </c>
    </row>
    <row r="3" spans="1:16" ht="27" x14ac:dyDescent="0.35">
      <c r="A3" t="s">
        <v>38</v>
      </c>
      <c r="B3" t="s">
        <v>39</v>
      </c>
      <c r="C3" s="6" t="s">
        <v>42</v>
      </c>
      <c r="D3">
        <v>20240809</v>
      </c>
      <c r="E3" t="s">
        <v>15</v>
      </c>
      <c r="F3">
        <v>4</v>
      </c>
      <c r="G3">
        <v>1</v>
      </c>
      <c r="H3" t="s">
        <v>43</v>
      </c>
      <c r="I3" s="6" t="s">
        <v>43</v>
      </c>
      <c r="O3" s="60">
        <v>4</v>
      </c>
      <c r="P3" s="61">
        <v>0.58333333333333337</v>
      </c>
    </row>
    <row r="4" spans="1:16" ht="27" x14ac:dyDescent="0.35">
      <c r="A4" s="3" t="s">
        <v>38</v>
      </c>
      <c r="B4" s="3" t="s">
        <v>39</v>
      </c>
      <c r="C4" s="8" t="s">
        <v>44</v>
      </c>
      <c r="D4" s="3">
        <v>20240813</v>
      </c>
      <c r="E4" s="3" t="s">
        <v>15</v>
      </c>
      <c r="F4" s="3">
        <v>8</v>
      </c>
      <c r="G4" s="3">
        <v>1</v>
      </c>
      <c r="H4" s="3" t="s">
        <v>45</v>
      </c>
      <c r="I4" s="8" t="s">
        <v>45</v>
      </c>
      <c r="J4" s="3"/>
      <c r="K4" s="3"/>
      <c r="L4" s="3"/>
      <c r="M4" s="3"/>
      <c r="O4" s="60">
        <v>8</v>
      </c>
      <c r="P4" s="61">
        <v>0.375</v>
      </c>
    </row>
    <row r="5" spans="1:16" ht="27" x14ac:dyDescent="0.35">
      <c r="A5" t="s">
        <v>38</v>
      </c>
      <c r="B5" t="s">
        <v>39</v>
      </c>
      <c r="C5" s="6" t="s">
        <v>46</v>
      </c>
      <c r="D5">
        <v>20240815</v>
      </c>
      <c r="E5" t="s">
        <v>15</v>
      </c>
      <c r="F5">
        <v>10</v>
      </c>
      <c r="G5">
        <v>1</v>
      </c>
      <c r="H5" t="s">
        <v>47</v>
      </c>
      <c r="I5" s="6" t="s">
        <v>47</v>
      </c>
      <c r="O5" s="60">
        <v>10</v>
      </c>
      <c r="P5" s="61">
        <v>0.42708333333333331</v>
      </c>
    </row>
    <row r="6" spans="1:16" x14ac:dyDescent="0.2">
      <c r="A6" s="3" t="s">
        <v>38</v>
      </c>
      <c r="B6" s="3" t="s">
        <v>39</v>
      </c>
      <c r="C6" s="8" t="s">
        <v>48</v>
      </c>
      <c r="D6" s="2">
        <v>20240806</v>
      </c>
      <c r="E6" s="3" t="s">
        <v>15</v>
      </c>
      <c r="F6" s="3">
        <v>0</v>
      </c>
      <c r="G6" s="3">
        <v>2</v>
      </c>
      <c r="H6" s="3" t="s">
        <v>49</v>
      </c>
      <c r="I6" s="8" t="s">
        <v>49</v>
      </c>
      <c r="J6" s="3"/>
      <c r="K6" s="3"/>
      <c r="L6" s="3"/>
      <c r="M6" s="3"/>
    </row>
    <row r="7" spans="1:16" x14ac:dyDescent="0.2">
      <c r="A7" t="s">
        <v>38</v>
      </c>
      <c r="B7" t="s">
        <v>39</v>
      </c>
      <c r="C7" s="6" t="s">
        <v>50</v>
      </c>
      <c r="D7">
        <v>20240809</v>
      </c>
      <c r="E7" t="s">
        <v>15</v>
      </c>
      <c r="F7">
        <v>4</v>
      </c>
      <c r="G7">
        <v>2</v>
      </c>
      <c r="H7" t="s">
        <v>51</v>
      </c>
      <c r="I7" s="6" t="s">
        <v>51</v>
      </c>
    </row>
    <row r="8" spans="1:16" x14ac:dyDescent="0.2">
      <c r="A8" s="3" t="s">
        <v>38</v>
      </c>
      <c r="B8" s="3" t="s">
        <v>39</v>
      </c>
      <c r="C8" s="8" t="s">
        <v>52</v>
      </c>
      <c r="D8" s="3">
        <v>20240813</v>
      </c>
      <c r="E8" s="3" t="s">
        <v>15</v>
      </c>
      <c r="F8" s="3">
        <v>8</v>
      </c>
      <c r="G8" s="3">
        <v>2</v>
      </c>
      <c r="H8" s="3" t="s">
        <v>53</v>
      </c>
      <c r="I8" s="8" t="s">
        <v>53</v>
      </c>
      <c r="J8" s="3"/>
      <c r="K8" s="3"/>
      <c r="L8" s="3"/>
      <c r="M8" s="3"/>
    </row>
    <row r="9" spans="1:16" x14ac:dyDescent="0.2">
      <c r="A9" s="5" t="s">
        <v>38</v>
      </c>
      <c r="B9" s="5" t="s">
        <v>39</v>
      </c>
      <c r="C9" s="9" t="s">
        <v>54</v>
      </c>
      <c r="D9">
        <v>20240815</v>
      </c>
      <c r="E9" s="5" t="s">
        <v>15</v>
      </c>
      <c r="F9" s="5">
        <v>10</v>
      </c>
      <c r="G9" s="5">
        <v>2</v>
      </c>
      <c r="H9" s="5" t="s">
        <v>55</v>
      </c>
      <c r="I9" s="9" t="s">
        <v>55</v>
      </c>
      <c r="J9" s="5"/>
      <c r="K9" s="5"/>
      <c r="L9" s="5"/>
      <c r="M9" s="5"/>
    </row>
    <row r="10" spans="1:16" x14ac:dyDescent="0.2">
      <c r="A10" s="2" t="s">
        <v>38</v>
      </c>
      <c r="B10" s="2" t="s">
        <v>39</v>
      </c>
      <c r="C10" s="7" t="s">
        <v>56</v>
      </c>
      <c r="D10" s="2">
        <v>20240806</v>
      </c>
      <c r="E10" s="2" t="s">
        <v>15</v>
      </c>
      <c r="F10" s="2">
        <v>0</v>
      </c>
      <c r="G10" s="2">
        <v>3</v>
      </c>
      <c r="H10" s="2" t="s">
        <v>57</v>
      </c>
      <c r="I10" s="7" t="s">
        <v>58</v>
      </c>
      <c r="J10" s="2"/>
      <c r="K10" s="2"/>
      <c r="L10" s="2"/>
      <c r="M10" s="2"/>
    </row>
    <row r="11" spans="1:16" x14ac:dyDescent="0.2">
      <c r="A11" t="s">
        <v>38</v>
      </c>
      <c r="B11" t="s">
        <v>39</v>
      </c>
      <c r="C11" s="6" t="s">
        <v>59</v>
      </c>
      <c r="D11">
        <v>20240809</v>
      </c>
      <c r="E11" t="s">
        <v>15</v>
      </c>
      <c r="F11">
        <v>4</v>
      </c>
      <c r="G11">
        <v>3</v>
      </c>
      <c r="H11" t="s">
        <v>60</v>
      </c>
      <c r="I11" s="6" t="s">
        <v>61</v>
      </c>
    </row>
    <row r="12" spans="1:16" x14ac:dyDescent="0.2">
      <c r="A12" s="3" t="s">
        <v>38</v>
      </c>
      <c r="B12" s="3" t="s">
        <v>39</v>
      </c>
      <c r="C12" s="8" t="s">
        <v>62</v>
      </c>
      <c r="D12" s="3">
        <v>20240813</v>
      </c>
      <c r="E12" s="3" t="s">
        <v>15</v>
      </c>
      <c r="F12" s="3">
        <v>8</v>
      </c>
      <c r="G12" s="3">
        <v>3</v>
      </c>
      <c r="H12" s="3" t="s">
        <v>61</v>
      </c>
      <c r="I12" s="8" t="s">
        <v>60</v>
      </c>
      <c r="J12" s="3"/>
      <c r="K12" s="3"/>
      <c r="L12" s="3"/>
      <c r="M12" s="3"/>
    </row>
    <row r="13" spans="1:16" x14ac:dyDescent="0.2">
      <c r="A13" t="s">
        <v>38</v>
      </c>
      <c r="B13" t="s">
        <v>39</v>
      </c>
      <c r="C13" s="6" t="s">
        <v>63</v>
      </c>
      <c r="D13">
        <v>20240815</v>
      </c>
      <c r="E13" t="s">
        <v>15</v>
      </c>
      <c r="F13">
        <v>10</v>
      </c>
      <c r="G13">
        <v>3</v>
      </c>
      <c r="H13" t="s">
        <v>58</v>
      </c>
      <c r="I13" s="6" t="s">
        <v>57</v>
      </c>
    </row>
    <row r="14" spans="1:16" x14ac:dyDescent="0.2">
      <c r="A14" s="3" t="s">
        <v>38</v>
      </c>
      <c r="B14" s="3" t="s">
        <v>39</v>
      </c>
      <c r="C14" s="8" t="s">
        <v>64</v>
      </c>
      <c r="D14" s="2">
        <v>20240806</v>
      </c>
      <c r="E14" s="3" t="s">
        <v>15</v>
      </c>
      <c r="F14" s="3">
        <v>0</v>
      </c>
      <c r="G14" s="3">
        <v>4</v>
      </c>
      <c r="H14" s="3" t="s">
        <v>65</v>
      </c>
      <c r="I14" s="8" t="s">
        <v>66</v>
      </c>
      <c r="J14" s="3"/>
      <c r="K14" s="3"/>
      <c r="L14" s="3"/>
      <c r="M14" s="3"/>
    </row>
    <row r="15" spans="1:16" x14ac:dyDescent="0.2">
      <c r="A15" t="s">
        <v>38</v>
      </c>
      <c r="B15" t="s">
        <v>39</v>
      </c>
      <c r="C15" s="6" t="s">
        <v>67</v>
      </c>
      <c r="D15">
        <v>20240809</v>
      </c>
      <c r="E15" t="s">
        <v>15</v>
      </c>
      <c r="F15">
        <v>4</v>
      </c>
      <c r="G15">
        <v>4</v>
      </c>
      <c r="H15" t="s">
        <v>68</v>
      </c>
      <c r="I15" s="6" t="s">
        <v>69</v>
      </c>
    </row>
    <row r="16" spans="1:16" x14ac:dyDescent="0.2">
      <c r="A16" s="3" t="s">
        <v>38</v>
      </c>
      <c r="B16" s="3" t="s">
        <v>39</v>
      </c>
      <c r="C16" s="8" t="s">
        <v>70</v>
      </c>
      <c r="D16" s="3">
        <v>20240813</v>
      </c>
      <c r="E16" s="3" t="s">
        <v>15</v>
      </c>
      <c r="F16" s="3">
        <v>8</v>
      </c>
      <c r="G16" s="3">
        <v>4</v>
      </c>
      <c r="H16" s="3" t="s">
        <v>69</v>
      </c>
      <c r="I16" s="8" t="s">
        <v>68</v>
      </c>
      <c r="J16" s="3"/>
      <c r="K16" s="3"/>
      <c r="L16" s="3"/>
      <c r="M16" s="3"/>
    </row>
    <row r="17" spans="1:13" x14ac:dyDescent="0.2">
      <c r="A17" s="5" t="s">
        <v>38</v>
      </c>
      <c r="B17" s="5" t="s">
        <v>39</v>
      </c>
      <c r="C17" s="9" t="s">
        <v>71</v>
      </c>
      <c r="D17">
        <v>20240815</v>
      </c>
      <c r="E17" s="5" t="s">
        <v>15</v>
      </c>
      <c r="F17" s="5">
        <v>10</v>
      </c>
      <c r="G17" s="5">
        <v>4</v>
      </c>
      <c r="H17" s="5" t="s">
        <v>66</v>
      </c>
      <c r="I17" s="9" t="s">
        <v>65</v>
      </c>
      <c r="J17" s="5"/>
      <c r="K17" s="5"/>
      <c r="L17" s="5"/>
      <c r="M17" s="5"/>
    </row>
    <row r="18" spans="1:13" x14ac:dyDescent="0.2">
      <c r="A18" t="s">
        <v>0</v>
      </c>
      <c r="B18" t="s">
        <v>1</v>
      </c>
      <c r="C18" s="6" t="s">
        <v>2</v>
      </c>
      <c r="D18" t="s">
        <v>3</v>
      </c>
      <c r="E18" t="s">
        <v>4</v>
      </c>
      <c r="F18" t="s">
        <v>104</v>
      </c>
      <c r="G18" t="s">
        <v>5</v>
      </c>
      <c r="L18" t="s">
        <v>10</v>
      </c>
      <c r="M18" t="s">
        <v>11</v>
      </c>
    </row>
    <row r="19" spans="1:13" x14ac:dyDescent="0.2">
      <c r="A19" s="2" t="s">
        <v>38</v>
      </c>
      <c r="B19" s="2" t="s">
        <v>39</v>
      </c>
      <c r="C19" s="7" t="s">
        <v>72</v>
      </c>
      <c r="D19" s="2">
        <v>20240806</v>
      </c>
      <c r="E19" s="2" t="s">
        <v>15</v>
      </c>
      <c r="F19" s="2">
        <v>0</v>
      </c>
      <c r="G19" s="2">
        <v>1</v>
      </c>
      <c r="H19" s="2" t="s">
        <v>73</v>
      </c>
      <c r="I19" s="7" t="s">
        <v>74</v>
      </c>
      <c r="J19" s="2"/>
      <c r="K19" s="2"/>
      <c r="L19" s="2"/>
      <c r="M19" s="2"/>
    </row>
    <row r="20" spans="1:13" x14ac:dyDescent="0.2">
      <c r="A20" t="s">
        <v>38</v>
      </c>
      <c r="B20" t="s">
        <v>39</v>
      </c>
      <c r="C20" s="6" t="s">
        <v>75</v>
      </c>
      <c r="D20">
        <v>20240809</v>
      </c>
      <c r="E20" t="s">
        <v>15</v>
      </c>
      <c r="F20">
        <v>4</v>
      </c>
      <c r="G20">
        <v>1</v>
      </c>
      <c r="H20" t="s">
        <v>76</v>
      </c>
      <c r="I20" s="6" t="s">
        <v>73</v>
      </c>
    </row>
    <row r="21" spans="1:13" x14ac:dyDescent="0.2">
      <c r="A21" s="3" t="s">
        <v>38</v>
      </c>
      <c r="B21" s="3" t="s">
        <v>39</v>
      </c>
      <c r="C21" s="8" t="s">
        <v>77</v>
      </c>
      <c r="D21" s="3">
        <v>20240813</v>
      </c>
      <c r="E21" s="3" t="s">
        <v>15</v>
      </c>
      <c r="F21" s="3">
        <v>8</v>
      </c>
      <c r="G21" s="3">
        <v>1</v>
      </c>
      <c r="H21" s="3" t="s">
        <v>74</v>
      </c>
      <c r="I21" s="8" t="s">
        <v>78</v>
      </c>
      <c r="J21" s="3"/>
      <c r="K21" s="3"/>
      <c r="L21" s="3"/>
      <c r="M21" s="3"/>
    </row>
    <row r="22" spans="1:13" x14ac:dyDescent="0.2">
      <c r="A22" t="s">
        <v>38</v>
      </c>
      <c r="B22" t="s">
        <v>39</v>
      </c>
      <c r="C22" s="6" t="s">
        <v>79</v>
      </c>
      <c r="D22">
        <v>20240815</v>
      </c>
      <c r="E22" t="s">
        <v>15</v>
      </c>
      <c r="F22">
        <v>10</v>
      </c>
      <c r="G22">
        <v>1</v>
      </c>
      <c r="H22" t="s">
        <v>78</v>
      </c>
      <c r="I22" s="6" t="s">
        <v>76</v>
      </c>
    </row>
    <row r="23" spans="1:13" x14ac:dyDescent="0.2">
      <c r="A23" s="3" t="s">
        <v>38</v>
      </c>
      <c r="B23" s="3" t="s">
        <v>39</v>
      </c>
      <c r="C23" s="8" t="s">
        <v>80</v>
      </c>
      <c r="D23" s="2">
        <v>20240806</v>
      </c>
      <c r="E23" s="3" t="s">
        <v>15</v>
      </c>
      <c r="F23" s="3">
        <v>0</v>
      </c>
      <c r="G23" s="3">
        <v>2</v>
      </c>
      <c r="H23" s="3" t="s">
        <v>81</v>
      </c>
      <c r="I23" s="8" t="s">
        <v>82</v>
      </c>
      <c r="J23" s="3"/>
      <c r="K23" s="3"/>
      <c r="L23" s="3"/>
      <c r="M23" s="3"/>
    </row>
    <row r="24" spans="1:13" x14ac:dyDescent="0.2">
      <c r="A24" t="s">
        <v>38</v>
      </c>
      <c r="B24" t="s">
        <v>39</v>
      </c>
      <c r="C24" s="6" t="s">
        <v>83</v>
      </c>
      <c r="D24">
        <v>20240809</v>
      </c>
      <c r="E24" t="s">
        <v>15</v>
      </c>
      <c r="F24">
        <v>4</v>
      </c>
      <c r="G24">
        <v>2</v>
      </c>
      <c r="H24" t="s">
        <v>84</v>
      </c>
      <c r="I24" s="6" t="s">
        <v>81</v>
      </c>
    </row>
    <row r="25" spans="1:13" x14ac:dyDescent="0.2">
      <c r="A25" s="3" t="s">
        <v>38</v>
      </c>
      <c r="B25" s="3" t="s">
        <v>39</v>
      </c>
      <c r="C25" s="8" t="s">
        <v>85</v>
      </c>
      <c r="D25" s="3">
        <v>20240813</v>
      </c>
      <c r="E25" s="3" t="s">
        <v>15</v>
      </c>
      <c r="F25" s="3">
        <v>8</v>
      </c>
      <c r="G25" s="3">
        <v>2</v>
      </c>
      <c r="H25" s="3" t="s">
        <v>82</v>
      </c>
      <c r="I25" s="8" t="s">
        <v>86</v>
      </c>
      <c r="J25" s="3"/>
      <c r="K25" s="3"/>
      <c r="L25" s="3"/>
      <c r="M25" s="3"/>
    </row>
    <row r="26" spans="1:13" x14ac:dyDescent="0.2">
      <c r="A26" s="5" t="s">
        <v>38</v>
      </c>
      <c r="B26" s="5" t="s">
        <v>39</v>
      </c>
      <c r="C26" s="9" t="s">
        <v>87</v>
      </c>
      <c r="D26">
        <v>20240815</v>
      </c>
      <c r="E26" s="5" t="s">
        <v>15</v>
      </c>
      <c r="F26" s="5">
        <v>10</v>
      </c>
      <c r="G26" s="5">
        <v>2</v>
      </c>
      <c r="H26" s="5" t="s">
        <v>86</v>
      </c>
      <c r="I26" s="9" t="s">
        <v>84</v>
      </c>
      <c r="J26" s="5"/>
      <c r="K26" s="5"/>
      <c r="L26" s="5"/>
      <c r="M26" s="5"/>
    </row>
    <row r="27" spans="1:13" x14ac:dyDescent="0.2">
      <c r="A27" s="2" t="s">
        <v>38</v>
      </c>
      <c r="B27" s="2" t="s">
        <v>39</v>
      </c>
      <c r="C27" s="7" t="s">
        <v>88</v>
      </c>
      <c r="D27" s="2">
        <v>20240806</v>
      </c>
      <c r="E27" s="2" t="s">
        <v>15</v>
      </c>
      <c r="F27" s="2">
        <v>0</v>
      </c>
      <c r="G27" s="2">
        <v>3</v>
      </c>
      <c r="H27" s="2" t="s">
        <v>89</v>
      </c>
      <c r="I27" s="7" t="s">
        <v>90</v>
      </c>
      <c r="J27" s="2"/>
      <c r="K27" s="2"/>
      <c r="L27" s="2"/>
      <c r="M27" s="2"/>
    </row>
    <row r="28" spans="1:13" x14ac:dyDescent="0.2">
      <c r="A28" t="s">
        <v>38</v>
      </c>
      <c r="B28" t="s">
        <v>39</v>
      </c>
      <c r="C28" s="6" t="s">
        <v>91</v>
      </c>
      <c r="D28">
        <v>20240809</v>
      </c>
      <c r="E28" t="s">
        <v>15</v>
      </c>
      <c r="F28">
        <v>4</v>
      </c>
      <c r="G28">
        <v>3</v>
      </c>
      <c r="H28" t="s">
        <v>90</v>
      </c>
      <c r="I28" s="6" t="s">
        <v>92</v>
      </c>
    </row>
    <row r="29" spans="1:13" x14ac:dyDescent="0.2">
      <c r="A29" s="3" t="s">
        <v>38</v>
      </c>
      <c r="B29" s="3" t="s">
        <v>39</v>
      </c>
      <c r="C29" s="8" t="s">
        <v>93</v>
      </c>
      <c r="D29" s="3">
        <v>20240813</v>
      </c>
      <c r="E29" s="3" t="s">
        <v>15</v>
      </c>
      <c r="F29" s="3">
        <v>8</v>
      </c>
      <c r="G29" s="3">
        <v>3</v>
      </c>
      <c r="H29" s="3" t="s">
        <v>94</v>
      </c>
      <c r="I29" s="8" t="s">
        <v>89</v>
      </c>
      <c r="J29" s="3"/>
      <c r="K29" s="3"/>
      <c r="L29" s="3"/>
      <c r="M29" s="3"/>
    </row>
    <row r="30" spans="1:13" x14ac:dyDescent="0.2">
      <c r="A30" t="s">
        <v>38</v>
      </c>
      <c r="B30" t="s">
        <v>39</v>
      </c>
      <c r="C30" s="6" t="s">
        <v>95</v>
      </c>
      <c r="D30">
        <v>20240815</v>
      </c>
      <c r="E30" t="s">
        <v>15</v>
      </c>
      <c r="F30">
        <v>10</v>
      </c>
      <c r="G30">
        <v>3</v>
      </c>
      <c r="H30" t="s">
        <v>92</v>
      </c>
      <c r="I30" s="6" t="s">
        <v>94</v>
      </c>
    </row>
    <row r="31" spans="1:13" x14ac:dyDescent="0.2">
      <c r="A31" s="3" t="s">
        <v>38</v>
      </c>
      <c r="B31" s="3" t="s">
        <v>39</v>
      </c>
      <c r="C31" s="8" t="s">
        <v>96</v>
      </c>
      <c r="D31" s="2">
        <v>20240806</v>
      </c>
      <c r="E31" s="3" t="s">
        <v>15</v>
      </c>
      <c r="F31" s="3">
        <v>0</v>
      </c>
      <c r="G31" s="3">
        <v>4</v>
      </c>
      <c r="H31" s="3" t="s">
        <v>97</v>
      </c>
      <c r="I31" s="8" t="s">
        <v>98</v>
      </c>
      <c r="J31" s="3"/>
      <c r="K31" s="3"/>
      <c r="L31" s="3"/>
      <c r="M31" s="3"/>
    </row>
    <row r="32" spans="1:13" x14ac:dyDescent="0.2">
      <c r="A32" t="s">
        <v>38</v>
      </c>
      <c r="B32" t="s">
        <v>39</v>
      </c>
      <c r="C32" s="6" t="s">
        <v>99</v>
      </c>
      <c r="D32">
        <v>20240809</v>
      </c>
      <c r="E32" t="s">
        <v>15</v>
      </c>
      <c r="F32">
        <v>4</v>
      </c>
      <c r="G32">
        <v>4</v>
      </c>
      <c r="H32" t="s">
        <v>98</v>
      </c>
      <c r="I32" s="6" t="s">
        <v>100</v>
      </c>
    </row>
    <row r="33" spans="1:13" x14ac:dyDescent="0.2">
      <c r="A33" s="3" t="s">
        <v>38</v>
      </c>
      <c r="B33" s="3" t="s">
        <v>39</v>
      </c>
      <c r="C33" s="8" t="s">
        <v>101</v>
      </c>
      <c r="D33" s="3">
        <v>20240813</v>
      </c>
      <c r="E33" s="3" t="s">
        <v>15</v>
      </c>
      <c r="F33" s="3">
        <v>8</v>
      </c>
      <c r="G33" s="3">
        <v>4</v>
      </c>
      <c r="H33" s="3" t="s">
        <v>102</v>
      </c>
      <c r="I33" s="8" t="s">
        <v>97</v>
      </c>
      <c r="J33" s="3"/>
      <c r="K33" s="3"/>
      <c r="L33" s="3"/>
      <c r="M33" s="3"/>
    </row>
    <row r="34" spans="1:13" x14ac:dyDescent="0.2">
      <c r="A34" s="5" t="s">
        <v>38</v>
      </c>
      <c r="B34" s="5" t="s">
        <v>39</v>
      </c>
      <c r="C34" s="9" t="s">
        <v>103</v>
      </c>
      <c r="D34">
        <v>20240815</v>
      </c>
      <c r="E34" s="5" t="s">
        <v>15</v>
      </c>
      <c r="F34" s="5">
        <v>10</v>
      </c>
      <c r="G34" s="5">
        <v>4</v>
      </c>
      <c r="H34" s="5" t="s">
        <v>100</v>
      </c>
      <c r="I34" s="9" t="s">
        <v>102</v>
      </c>
      <c r="J34" s="5"/>
      <c r="K34" s="5"/>
      <c r="L34" s="5"/>
      <c r="M34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91ED-FD31-F749-981E-E95D63574390}">
  <sheetPr>
    <pageSetUpPr fitToPage="1"/>
  </sheetPr>
  <dimension ref="A1:Q16"/>
  <sheetViews>
    <sheetView workbookViewId="0">
      <selection activeCell="L3" sqref="L3"/>
    </sheetView>
  </sheetViews>
  <sheetFormatPr baseColWidth="10" defaultRowHeight="16" x14ac:dyDescent="0.2"/>
  <cols>
    <col min="1" max="1" width="27.5" bestFit="1" customWidth="1"/>
    <col min="4" max="4" width="4.33203125" customWidth="1"/>
    <col min="5" max="5" width="18.1640625" bestFit="1" customWidth="1"/>
  </cols>
  <sheetData>
    <row r="1" spans="1:17" ht="31" customHeight="1" thickBot="1" x14ac:dyDescent="0.35">
      <c r="A1" s="28" t="s">
        <v>177</v>
      </c>
      <c r="B1" s="39" t="s">
        <v>187</v>
      </c>
      <c r="C1" s="39" t="s">
        <v>192</v>
      </c>
      <c r="D1" s="40"/>
      <c r="E1" s="39" t="s">
        <v>194</v>
      </c>
      <c r="K1" t="s">
        <v>282</v>
      </c>
      <c r="P1" t="s">
        <v>283</v>
      </c>
      <c r="Q1" t="s">
        <v>284</v>
      </c>
    </row>
    <row r="2" spans="1:17" x14ac:dyDescent="0.2">
      <c r="A2" s="26" t="s">
        <v>178</v>
      </c>
      <c r="B2" s="26">
        <v>25</v>
      </c>
      <c r="C2" s="26" t="s">
        <v>179</v>
      </c>
      <c r="E2">
        <f>B2*B$16</f>
        <v>1680</v>
      </c>
      <c r="F2" t="s">
        <v>187</v>
      </c>
      <c r="L2" t="s">
        <v>285</v>
      </c>
    </row>
    <row r="3" spans="1:17" x14ac:dyDescent="0.2">
      <c r="A3" s="26" t="s">
        <v>180</v>
      </c>
      <c r="B3" s="26">
        <v>5</v>
      </c>
      <c r="C3" s="26" t="s">
        <v>181</v>
      </c>
      <c r="E3">
        <f t="shared" ref="E3:E4" si="0">B3*B$16</f>
        <v>336</v>
      </c>
      <c r="F3" t="s">
        <v>187</v>
      </c>
      <c r="K3" t="s">
        <v>41</v>
      </c>
      <c r="L3">
        <v>3.26</v>
      </c>
    </row>
    <row r="4" spans="1:17" x14ac:dyDescent="0.2">
      <c r="A4" s="26" t="s">
        <v>182</v>
      </c>
      <c r="B4" s="26">
        <v>5</v>
      </c>
      <c r="C4" s="26" t="s">
        <v>181</v>
      </c>
      <c r="E4">
        <f t="shared" si="0"/>
        <v>336</v>
      </c>
      <c r="F4" t="s">
        <v>187</v>
      </c>
      <c r="K4" t="s">
        <v>49</v>
      </c>
      <c r="L4">
        <v>3.28</v>
      </c>
    </row>
    <row r="5" spans="1:17" x14ac:dyDescent="0.2">
      <c r="A5" s="26" t="s">
        <v>183</v>
      </c>
      <c r="B5" s="26">
        <v>15</v>
      </c>
      <c r="C5" s="26"/>
      <c r="E5">
        <f>B5*B$16</f>
        <v>1008</v>
      </c>
      <c r="F5" t="s">
        <v>187</v>
      </c>
      <c r="K5" t="s">
        <v>57</v>
      </c>
      <c r="L5">
        <v>3.23</v>
      </c>
    </row>
    <row r="6" spans="1:17" ht="17" thickBot="1" x14ac:dyDescent="0.25">
      <c r="A6" s="30" t="s">
        <v>184</v>
      </c>
      <c r="B6" s="30" t="s">
        <v>193</v>
      </c>
      <c r="C6" s="30"/>
      <c r="D6" s="29"/>
      <c r="E6" s="29"/>
      <c r="K6" t="s">
        <v>65</v>
      </c>
      <c r="L6">
        <v>3.31</v>
      </c>
    </row>
    <row r="7" spans="1:17" x14ac:dyDescent="0.2">
      <c r="A7" s="27" t="s">
        <v>185</v>
      </c>
      <c r="B7" s="27" t="s">
        <v>186</v>
      </c>
      <c r="C7" s="26"/>
      <c r="K7" t="s">
        <v>73</v>
      </c>
      <c r="L7">
        <v>3.26</v>
      </c>
    </row>
    <row r="8" spans="1:17" x14ac:dyDescent="0.2">
      <c r="K8" t="s">
        <v>84</v>
      </c>
      <c r="L8">
        <v>4.13</v>
      </c>
    </row>
    <row r="9" spans="1:17" x14ac:dyDescent="0.2">
      <c r="K9" t="s">
        <v>90</v>
      </c>
      <c r="L9">
        <v>2.36</v>
      </c>
    </row>
    <row r="10" spans="1:17" x14ac:dyDescent="0.2">
      <c r="K10" t="s">
        <v>98</v>
      </c>
      <c r="L10">
        <v>3.64</v>
      </c>
    </row>
    <row r="11" spans="1:17" ht="17" thickBot="1" x14ac:dyDescent="0.25"/>
    <row r="12" spans="1:17" x14ac:dyDescent="0.2">
      <c r="A12" s="31" t="s">
        <v>189</v>
      </c>
      <c r="B12" s="32"/>
      <c r="C12" s="33"/>
    </row>
    <row r="13" spans="1:17" ht="17" thickBot="1" x14ac:dyDescent="0.25">
      <c r="A13" s="34" t="s">
        <v>13</v>
      </c>
      <c r="B13">
        <v>24</v>
      </c>
      <c r="C13" s="35" t="s">
        <v>188</v>
      </c>
    </row>
    <row r="14" spans="1:17" ht="17" thickBot="1" x14ac:dyDescent="0.25">
      <c r="A14" s="38" t="s">
        <v>39</v>
      </c>
      <c r="B14" s="18">
        <f>4*8</f>
        <v>32</v>
      </c>
      <c r="C14" s="20" t="s">
        <v>188</v>
      </c>
    </row>
    <row r="15" spans="1:17" x14ac:dyDescent="0.2">
      <c r="A15" s="34" t="s">
        <v>190</v>
      </c>
      <c r="B15">
        <f>SUM(B13:B14)</f>
        <v>56</v>
      </c>
      <c r="C15" s="35" t="s">
        <v>191</v>
      </c>
    </row>
    <row r="16" spans="1:17" ht="17" thickBot="1" x14ac:dyDescent="0.25">
      <c r="A16" s="36"/>
      <c r="B16" s="29">
        <f>B15*1.2</f>
        <v>67.2</v>
      </c>
      <c r="C16" s="37"/>
    </row>
  </sheetData>
  <pageMargins left="0.7" right="0.7" top="0.75" bottom="0.75" header="0.3" footer="0.3"/>
  <pageSetup paperSize="9" scale="9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C509-9914-0C40-92D9-B93EAFBBD51D}">
  <dimension ref="A5:Q46"/>
  <sheetViews>
    <sheetView workbookViewId="0">
      <selection activeCell="G69" sqref="G69"/>
    </sheetView>
  </sheetViews>
  <sheetFormatPr baseColWidth="10" defaultRowHeight="16" x14ac:dyDescent="0.2"/>
  <sheetData>
    <row r="5" spans="1:17" x14ac:dyDescent="0.2">
      <c r="A5" t="s">
        <v>195</v>
      </c>
      <c r="B5" s="43" t="s">
        <v>237</v>
      </c>
      <c r="C5" s="44" t="s">
        <v>237</v>
      </c>
      <c r="D5" s="43">
        <v>47</v>
      </c>
      <c r="I5" s="41" t="s">
        <v>238</v>
      </c>
      <c r="M5" t="s">
        <v>240</v>
      </c>
      <c r="N5" s="43" t="s">
        <v>237</v>
      </c>
      <c r="P5" s="43">
        <v>70</v>
      </c>
    </row>
    <row r="6" spans="1:17" x14ac:dyDescent="0.2">
      <c r="A6" t="s">
        <v>196</v>
      </c>
      <c r="B6" s="43" t="s">
        <v>237</v>
      </c>
      <c r="C6" s="44" t="s">
        <v>237</v>
      </c>
      <c r="E6" s="44">
        <v>25</v>
      </c>
      <c r="I6" s="42" t="s">
        <v>239</v>
      </c>
      <c r="M6" t="s">
        <v>241</v>
      </c>
      <c r="N6" s="43" t="s">
        <v>237</v>
      </c>
      <c r="O6" s="44" t="s">
        <v>237</v>
      </c>
      <c r="Q6" s="44">
        <v>25</v>
      </c>
    </row>
    <row r="7" spans="1:17" x14ac:dyDescent="0.2">
      <c r="A7" t="s">
        <v>197</v>
      </c>
      <c r="B7" s="43" t="s">
        <v>237</v>
      </c>
      <c r="C7" s="44" t="s">
        <v>237</v>
      </c>
      <c r="I7" s="43" t="s">
        <v>280</v>
      </c>
      <c r="M7" t="s">
        <v>242</v>
      </c>
      <c r="N7" s="43" t="s">
        <v>237</v>
      </c>
    </row>
    <row r="8" spans="1:17" x14ac:dyDescent="0.2">
      <c r="A8" t="s">
        <v>198</v>
      </c>
      <c r="B8" s="43" t="s">
        <v>237</v>
      </c>
      <c r="C8" s="44" t="s">
        <v>237</v>
      </c>
      <c r="I8" s="44" t="s">
        <v>281</v>
      </c>
      <c r="M8" t="s">
        <v>243</v>
      </c>
      <c r="N8" s="43" t="s">
        <v>237</v>
      </c>
      <c r="O8" s="44" t="s">
        <v>237</v>
      </c>
      <c r="Q8" s="44">
        <v>10</v>
      </c>
    </row>
    <row r="9" spans="1:17" x14ac:dyDescent="0.2">
      <c r="A9" t="s">
        <v>199</v>
      </c>
      <c r="B9" s="43" t="s">
        <v>237</v>
      </c>
      <c r="C9" s="44" t="s">
        <v>237</v>
      </c>
      <c r="E9" s="44">
        <v>25</v>
      </c>
      <c r="M9" t="s">
        <v>244</v>
      </c>
      <c r="N9" s="43" t="s">
        <v>237</v>
      </c>
      <c r="O9" s="44" t="s">
        <v>237</v>
      </c>
      <c r="Q9" s="45">
        <v>10</v>
      </c>
    </row>
    <row r="10" spans="1:17" x14ac:dyDescent="0.2">
      <c r="A10" t="s">
        <v>200</v>
      </c>
      <c r="B10" s="43" t="s">
        <v>237</v>
      </c>
      <c r="C10" s="44" t="s">
        <v>237</v>
      </c>
      <c r="M10" t="s">
        <v>245</v>
      </c>
      <c r="N10" s="43" t="s">
        <v>237</v>
      </c>
    </row>
    <row r="11" spans="1:17" x14ac:dyDescent="0.2">
      <c r="A11" t="s">
        <v>201</v>
      </c>
      <c r="B11" s="43" t="s">
        <v>237</v>
      </c>
      <c r="C11" s="44" t="s">
        <v>237</v>
      </c>
      <c r="M11" t="s">
        <v>246</v>
      </c>
      <c r="N11" s="43" t="s">
        <v>237</v>
      </c>
      <c r="P11" s="43">
        <v>70</v>
      </c>
    </row>
    <row r="12" spans="1:17" x14ac:dyDescent="0.2">
      <c r="A12" t="s">
        <v>202</v>
      </c>
      <c r="B12" s="43" t="s">
        <v>237</v>
      </c>
      <c r="C12" s="44" t="s">
        <v>237</v>
      </c>
      <c r="M12" t="s">
        <v>247</v>
      </c>
      <c r="N12" s="43" t="s">
        <v>237</v>
      </c>
      <c r="O12" s="44" t="s">
        <v>237</v>
      </c>
      <c r="Q12" s="44">
        <v>25</v>
      </c>
    </row>
    <row r="13" spans="1:17" x14ac:dyDescent="0.2">
      <c r="A13" t="s">
        <v>203</v>
      </c>
      <c r="B13" s="43" t="s">
        <v>237</v>
      </c>
      <c r="C13" s="44" t="s">
        <v>237</v>
      </c>
      <c r="E13" s="44">
        <v>25</v>
      </c>
      <c r="M13" t="s">
        <v>248</v>
      </c>
      <c r="N13" s="42" t="s">
        <v>237</v>
      </c>
      <c r="O13" s="44" t="s">
        <v>237</v>
      </c>
      <c r="P13" s="42">
        <v>15</v>
      </c>
      <c r="Q13" s="44">
        <v>45</v>
      </c>
    </row>
    <row r="14" spans="1:17" x14ac:dyDescent="0.2">
      <c r="A14" t="s">
        <v>204</v>
      </c>
      <c r="B14" s="43" t="s">
        <v>237</v>
      </c>
      <c r="C14" s="44" t="s">
        <v>237</v>
      </c>
      <c r="M14" t="s">
        <v>249</v>
      </c>
      <c r="N14" s="42" t="s">
        <v>237</v>
      </c>
      <c r="O14" s="44" t="s">
        <v>237</v>
      </c>
    </row>
    <row r="15" spans="1:17" x14ac:dyDescent="0.2">
      <c r="A15" t="s">
        <v>205</v>
      </c>
      <c r="B15" s="43" t="s">
        <v>237</v>
      </c>
      <c r="C15" s="44" t="s">
        <v>237</v>
      </c>
      <c r="D15" s="43">
        <v>47</v>
      </c>
      <c r="E15" s="44">
        <v>40</v>
      </c>
      <c r="M15" t="s">
        <v>250</v>
      </c>
      <c r="N15" s="42" t="s">
        <v>237</v>
      </c>
      <c r="O15" s="44" t="s">
        <v>237</v>
      </c>
      <c r="P15" s="42">
        <v>40</v>
      </c>
      <c r="Q15" s="44">
        <v>45</v>
      </c>
    </row>
    <row r="16" spans="1:17" x14ac:dyDescent="0.2">
      <c r="A16" t="s">
        <v>206</v>
      </c>
      <c r="B16" s="43" t="s">
        <v>237</v>
      </c>
      <c r="C16" s="44" t="s">
        <v>237</v>
      </c>
      <c r="M16" t="s">
        <v>251</v>
      </c>
      <c r="N16" s="42" t="s">
        <v>237</v>
      </c>
      <c r="O16" s="44" t="s">
        <v>237</v>
      </c>
      <c r="P16" s="42">
        <v>40</v>
      </c>
    </row>
    <row r="17" spans="1:17" x14ac:dyDescent="0.2">
      <c r="A17" t="s">
        <v>207</v>
      </c>
      <c r="B17" s="41" t="s">
        <v>237</v>
      </c>
      <c r="C17" s="42" t="s">
        <v>237</v>
      </c>
      <c r="D17" s="42">
        <v>25</v>
      </c>
      <c r="M17" t="s">
        <v>252</v>
      </c>
      <c r="N17" s="42" t="s">
        <v>237</v>
      </c>
      <c r="O17" s="44" t="s">
        <v>237</v>
      </c>
      <c r="P17" s="42">
        <v>40</v>
      </c>
    </row>
    <row r="18" spans="1:17" x14ac:dyDescent="0.2">
      <c r="A18" t="s">
        <v>208</v>
      </c>
      <c r="B18" s="41" t="s">
        <v>237</v>
      </c>
      <c r="C18" s="42" t="s">
        <v>237</v>
      </c>
      <c r="M18" t="s">
        <v>253</v>
      </c>
      <c r="N18" s="42" t="s">
        <v>237</v>
      </c>
      <c r="O18" s="44" t="s">
        <v>237</v>
      </c>
      <c r="P18" s="42">
        <v>40</v>
      </c>
      <c r="Q18" s="44">
        <v>45</v>
      </c>
    </row>
    <row r="19" spans="1:17" x14ac:dyDescent="0.2">
      <c r="A19" t="s">
        <v>209</v>
      </c>
      <c r="B19" s="41" t="s">
        <v>237</v>
      </c>
      <c r="C19" s="42" t="s">
        <v>237</v>
      </c>
      <c r="M19" t="s">
        <v>254</v>
      </c>
      <c r="N19" s="42" t="s">
        <v>237</v>
      </c>
      <c r="O19" s="44" t="s">
        <v>237</v>
      </c>
      <c r="P19" s="42">
        <v>40</v>
      </c>
    </row>
    <row r="20" spans="1:17" x14ac:dyDescent="0.2">
      <c r="A20" t="s">
        <v>210</v>
      </c>
      <c r="B20" s="41" t="s">
        <v>237</v>
      </c>
      <c r="C20" s="42" t="s">
        <v>237</v>
      </c>
      <c r="M20" t="s">
        <v>255</v>
      </c>
      <c r="N20" s="42" t="s">
        <v>237</v>
      </c>
      <c r="O20" s="44" t="s">
        <v>237</v>
      </c>
      <c r="P20" s="42">
        <v>40</v>
      </c>
      <c r="Q20" s="44">
        <v>45</v>
      </c>
    </row>
    <row r="21" spans="1:17" x14ac:dyDescent="0.2">
      <c r="A21" t="s">
        <v>211</v>
      </c>
      <c r="B21" s="41" t="s">
        <v>237</v>
      </c>
      <c r="C21" s="42" t="s">
        <v>237</v>
      </c>
      <c r="D21" s="41">
        <v>47</v>
      </c>
      <c r="E21" s="42">
        <v>25</v>
      </c>
      <c r="M21" t="s">
        <v>256</v>
      </c>
    </row>
    <row r="22" spans="1:17" x14ac:dyDescent="0.2">
      <c r="A22" t="s">
        <v>212</v>
      </c>
      <c r="B22" s="41" t="s">
        <v>237</v>
      </c>
      <c r="C22" s="42" t="s">
        <v>237</v>
      </c>
      <c r="M22" t="s">
        <v>257</v>
      </c>
    </row>
    <row r="23" spans="1:17" x14ac:dyDescent="0.2">
      <c r="A23" t="s">
        <v>213</v>
      </c>
      <c r="B23" s="41" t="s">
        <v>237</v>
      </c>
      <c r="C23" s="42"/>
      <c r="D23" s="41">
        <v>47</v>
      </c>
      <c r="M23" t="s">
        <v>258</v>
      </c>
    </row>
    <row r="24" spans="1:17" x14ac:dyDescent="0.2">
      <c r="A24" t="s">
        <v>214</v>
      </c>
      <c r="B24" s="41" t="s">
        <v>237</v>
      </c>
      <c r="C24" s="42" t="s">
        <v>237</v>
      </c>
      <c r="M24" t="s">
        <v>259</v>
      </c>
    </row>
    <row r="25" spans="1:17" x14ac:dyDescent="0.2">
      <c r="A25" t="s">
        <v>215</v>
      </c>
      <c r="B25" s="41" t="s">
        <v>237</v>
      </c>
      <c r="C25" s="42" t="s">
        <v>237</v>
      </c>
      <c r="D25" s="42">
        <v>25</v>
      </c>
      <c r="M25" t="s">
        <v>260</v>
      </c>
    </row>
    <row r="26" spans="1:17" x14ac:dyDescent="0.2">
      <c r="A26" t="s">
        <v>216</v>
      </c>
      <c r="B26" s="41" t="s">
        <v>237</v>
      </c>
      <c r="C26" s="42"/>
      <c r="D26" s="42">
        <v>25</v>
      </c>
      <c r="M26" t="s">
        <v>261</v>
      </c>
    </row>
    <row r="27" spans="1:17" x14ac:dyDescent="0.2">
      <c r="A27" t="s">
        <v>217</v>
      </c>
      <c r="B27" s="41" t="s">
        <v>237</v>
      </c>
      <c r="C27" s="42" t="s">
        <v>237</v>
      </c>
      <c r="D27" s="42">
        <v>47</v>
      </c>
      <c r="M27" t="s">
        <v>262</v>
      </c>
    </row>
    <row r="28" spans="1:17" x14ac:dyDescent="0.2">
      <c r="A28" t="s">
        <v>218</v>
      </c>
      <c r="B28" s="41" t="s">
        <v>237</v>
      </c>
      <c r="C28" s="42" t="s">
        <v>237</v>
      </c>
      <c r="D28" s="42">
        <v>47</v>
      </c>
      <c r="M28" t="s">
        <v>263</v>
      </c>
    </row>
    <row r="29" spans="1:17" x14ac:dyDescent="0.2">
      <c r="A29" t="s">
        <v>219</v>
      </c>
      <c r="M29" t="s">
        <v>264</v>
      </c>
    </row>
    <row r="30" spans="1:17" x14ac:dyDescent="0.2">
      <c r="A30" t="s">
        <v>220</v>
      </c>
      <c r="M30" t="s">
        <v>265</v>
      </c>
    </row>
    <row r="31" spans="1:17" x14ac:dyDescent="0.2">
      <c r="A31" t="s">
        <v>221</v>
      </c>
      <c r="M31" t="s">
        <v>266</v>
      </c>
    </row>
    <row r="32" spans="1:17" x14ac:dyDescent="0.2">
      <c r="A32" t="s">
        <v>222</v>
      </c>
      <c r="M32" t="s">
        <v>267</v>
      </c>
    </row>
    <row r="33" spans="1:13" x14ac:dyDescent="0.2">
      <c r="A33" t="s">
        <v>223</v>
      </c>
      <c r="M33" t="s">
        <v>268</v>
      </c>
    </row>
    <row r="34" spans="1:13" x14ac:dyDescent="0.2">
      <c r="A34" t="s">
        <v>224</v>
      </c>
      <c r="M34" t="s">
        <v>269</v>
      </c>
    </row>
    <row r="35" spans="1:13" x14ac:dyDescent="0.2">
      <c r="A35" t="s">
        <v>225</v>
      </c>
      <c r="M35" t="s">
        <v>270</v>
      </c>
    </row>
    <row r="36" spans="1:13" x14ac:dyDescent="0.2">
      <c r="A36" t="s">
        <v>226</v>
      </c>
      <c r="M36" t="s">
        <v>271</v>
      </c>
    </row>
    <row r="37" spans="1:13" x14ac:dyDescent="0.2">
      <c r="A37" t="s">
        <v>227</v>
      </c>
      <c r="M37" t="s">
        <v>272</v>
      </c>
    </row>
    <row r="38" spans="1:13" x14ac:dyDescent="0.2">
      <c r="A38" t="s">
        <v>228</v>
      </c>
      <c r="M38" t="s">
        <v>273</v>
      </c>
    </row>
    <row r="39" spans="1:13" x14ac:dyDescent="0.2">
      <c r="A39" t="s">
        <v>229</v>
      </c>
      <c r="M39" t="s">
        <v>274</v>
      </c>
    </row>
    <row r="40" spans="1:13" x14ac:dyDescent="0.2">
      <c r="A40" t="s">
        <v>230</v>
      </c>
      <c r="M40" t="s">
        <v>275</v>
      </c>
    </row>
    <row r="41" spans="1:13" x14ac:dyDescent="0.2">
      <c r="A41" t="s">
        <v>231</v>
      </c>
      <c r="M41" t="s">
        <v>276</v>
      </c>
    </row>
    <row r="42" spans="1:13" x14ac:dyDescent="0.2">
      <c r="A42" t="s">
        <v>232</v>
      </c>
      <c r="M42" t="s">
        <v>277</v>
      </c>
    </row>
    <row r="43" spans="1:13" x14ac:dyDescent="0.2">
      <c r="A43" t="s">
        <v>233</v>
      </c>
      <c r="M43" t="s">
        <v>278</v>
      </c>
    </row>
    <row r="44" spans="1:13" x14ac:dyDescent="0.2">
      <c r="A44" t="s">
        <v>234</v>
      </c>
      <c r="M44" t="s">
        <v>279</v>
      </c>
    </row>
    <row r="45" spans="1:13" x14ac:dyDescent="0.2">
      <c r="A45" t="s">
        <v>235</v>
      </c>
    </row>
    <row r="46" spans="1:13" x14ac:dyDescent="0.2">
      <c r="A46" t="s">
        <v>236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B23A-DB0A-6A42-A58A-2F54A5ACFB39}">
  <dimension ref="A1:G61"/>
  <sheetViews>
    <sheetView zoomScaleNormal="100" workbookViewId="0">
      <selection activeCell="I38" sqref="I38"/>
    </sheetView>
  </sheetViews>
  <sheetFormatPr baseColWidth="10" defaultColWidth="8.33203125" defaultRowHeight="16" x14ac:dyDescent="0.2"/>
  <sheetData>
    <row r="1" spans="1:7" ht="34" x14ac:dyDescent="0.2">
      <c r="A1" s="25" t="s">
        <v>176</v>
      </c>
      <c r="B1" t="s">
        <v>8</v>
      </c>
      <c r="C1" t="s">
        <v>9</v>
      </c>
      <c r="F1" t="s">
        <v>175</v>
      </c>
    </row>
    <row r="2" spans="1:7" x14ac:dyDescent="0.2">
      <c r="A2" s="3" t="s">
        <v>41</v>
      </c>
      <c r="B2" s="3" t="s">
        <v>170</v>
      </c>
      <c r="C2" s="3" t="s">
        <v>158</v>
      </c>
      <c r="F2" t="s">
        <v>174</v>
      </c>
    </row>
    <row r="3" spans="1:7" x14ac:dyDescent="0.2">
      <c r="A3" t="s">
        <v>43</v>
      </c>
      <c r="B3" t="s">
        <v>170</v>
      </c>
      <c r="C3" t="s">
        <v>157</v>
      </c>
    </row>
    <row r="4" spans="1:7" x14ac:dyDescent="0.2">
      <c r="A4" s="3" t="s">
        <v>45</v>
      </c>
      <c r="B4" s="3" t="s">
        <v>170</v>
      </c>
      <c r="C4" s="3" t="s">
        <v>156</v>
      </c>
      <c r="F4" t="s">
        <v>173</v>
      </c>
    </row>
    <row r="5" spans="1:7" x14ac:dyDescent="0.2">
      <c r="A5" t="s">
        <v>47</v>
      </c>
      <c r="B5" t="s">
        <v>170</v>
      </c>
      <c r="C5" t="s">
        <v>155</v>
      </c>
    </row>
    <row r="6" spans="1:7" x14ac:dyDescent="0.2">
      <c r="A6" s="3" t="s">
        <v>49</v>
      </c>
      <c r="B6" s="3" t="s">
        <v>170</v>
      </c>
      <c r="C6" s="3" t="s">
        <v>154</v>
      </c>
      <c r="F6" t="s">
        <v>172</v>
      </c>
    </row>
    <row r="7" spans="1:7" x14ac:dyDescent="0.2">
      <c r="A7" t="s">
        <v>51</v>
      </c>
      <c r="B7" t="s">
        <v>170</v>
      </c>
      <c r="C7" t="s">
        <v>152</v>
      </c>
      <c r="F7" t="s">
        <v>171</v>
      </c>
    </row>
    <row r="8" spans="1:7" x14ac:dyDescent="0.2">
      <c r="A8" s="3" t="s">
        <v>53</v>
      </c>
      <c r="B8" s="3" t="s">
        <v>170</v>
      </c>
      <c r="C8" s="3" t="s">
        <v>164</v>
      </c>
    </row>
    <row r="9" spans="1:7" x14ac:dyDescent="0.2">
      <c r="A9" t="s">
        <v>55</v>
      </c>
      <c r="B9" t="s">
        <v>170</v>
      </c>
      <c r="C9" t="s">
        <v>162</v>
      </c>
      <c r="F9" t="s">
        <v>169</v>
      </c>
    </row>
    <row r="11" spans="1:7" x14ac:dyDescent="0.2">
      <c r="A11" s="3" t="s">
        <v>57</v>
      </c>
      <c r="B11" s="3" t="s">
        <v>168</v>
      </c>
      <c r="C11" s="3" t="s">
        <v>158</v>
      </c>
      <c r="F11" t="s">
        <v>161</v>
      </c>
      <c r="G11" t="s">
        <v>152</v>
      </c>
    </row>
    <row r="12" spans="1:7" x14ac:dyDescent="0.2">
      <c r="A12" t="s">
        <v>60</v>
      </c>
      <c r="B12" t="s">
        <v>168</v>
      </c>
      <c r="C12" t="s">
        <v>157</v>
      </c>
      <c r="F12" t="s">
        <v>161</v>
      </c>
      <c r="G12" t="s">
        <v>164</v>
      </c>
    </row>
    <row r="13" spans="1:7" x14ac:dyDescent="0.2">
      <c r="A13" s="3" t="s">
        <v>61</v>
      </c>
      <c r="B13" s="3" t="s">
        <v>168</v>
      </c>
      <c r="C13" s="3" t="s">
        <v>156</v>
      </c>
      <c r="F13" t="s">
        <v>161</v>
      </c>
      <c r="G13" t="s">
        <v>162</v>
      </c>
    </row>
    <row r="14" spans="1:7" x14ac:dyDescent="0.2">
      <c r="A14" t="s">
        <v>58</v>
      </c>
      <c r="B14" t="s">
        <v>168</v>
      </c>
      <c r="C14" t="s">
        <v>155</v>
      </c>
    </row>
    <row r="15" spans="1:7" x14ac:dyDescent="0.2">
      <c r="A15" s="3" t="s">
        <v>65</v>
      </c>
      <c r="B15" s="3" t="s">
        <v>168</v>
      </c>
      <c r="C15" s="3" t="s">
        <v>154</v>
      </c>
      <c r="F15" t="s">
        <v>160</v>
      </c>
      <c r="G15" t="s">
        <v>152</v>
      </c>
    </row>
    <row r="16" spans="1:7" x14ac:dyDescent="0.2">
      <c r="A16" t="s">
        <v>68</v>
      </c>
      <c r="B16" t="s">
        <v>168</v>
      </c>
      <c r="C16" t="s">
        <v>152</v>
      </c>
      <c r="F16" t="s">
        <v>160</v>
      </c>
      <c r="G16" t="s">
        <v>164</v>
      </c>
    </row>
    <row r="17" spans="1:7" x14ac:dyDescent="0.2">
      <c r="A17" s="3" t="s">
        <v>69</v>
      </c>
      <c r="B17" s="3" t="s">
        <v>168</v>
      </c>
      <c r="C17" s="3" t="s">
        <v>164</v>
      </c>
      <c r="F17" t="s">
        <v>160</v>
      </c>
      <c r="G17" t="s">
        <v>162</v>
      </c>
    </row>
    <row r="18" spans="1:7" x14ac:dyDescent="0.2">
      <c r="A18" t="s">
        <v>66</v>
      </c>
      <c r="B18" t="s">
        <v>168</v>
      </c>
      <c r="C18" t="s">
        <v>162</v>
      </c>
    </row>
    <row r="19" spans="1:7" x14ac:dyDescent="0.2">
      <c r="F19" t="s">
        <v>159</v>
      </c>
      <c r="G19" t="s">
        <v>164</v>
      </c>
    </row>
    <row r="20" spans="1:7" x14ac:dyDescent="0.2">
      <c r="A20" s="3" t="s">
        <v>73</v>
      </c>
      <c r="B20" s="3" t="s">
        <v>165</v>
      </c>
      <c r="C20" s="3" t="s">
        <v>158</v>
      </c>
      <c r="F20" t="s">
        <v>159</v>
      </c>
      <c r="G20" t="s">
        <v>162</v>
      </c>
    </row>
    <row r="21" spans="1:7" x14ac:dyDescent="0.2">
      <c r="A21" t="s">
        <v>76</v>
      </c>
      <c r="B21" t="s">
        <v>165</v>
      </c>
      <c r="C21" t="s">
        <v>157</v>
      </c>
    </row>
    <row r="22" spans="1:7" x14ac:dyDescent="0.2">
      <c r="A22" s="3" t="s">
        <v>74</v>
      </c>
      <c r="B22" s="3" t="s">
        <v>165</v>
      </c>
      <c r="C22" s="3" t="s">
        <v>156</v>
      </c>
      <c r="F22" t="s">
        <v>153</v>
      </c>
      <c r="G22" t="s">
        <v>164</v>
      </c>
    </row>
    <row r="23" spans="1:7" x14ac:dyDescent="0.2">
      <c r="A23" t="s">
        <v>78</v>
      </c>
      <c r="B23" t="s">
        <v>165</v>
      </c>
      <c r="C23" t="s">
        <v>155</v>
      </c>
      <c r="F23" s="24" t="s">
        <v>153</v>
      </c>
      <c r="G23" t="s">
        <v>162</v>
      </c>
    </row>
    <row r="24" spans="1:7" x14ac:dyDescent="0.2">
      <c r="A24" s="3" t="s">
        <v>81</v>
      </c>
      <c r="B24" s="3" t="s">
        <v>165</v>
      </c>
      <c r="C24" s="3" t="s">
        <v>154</v>
      </c>
    </row>
    <row r="25" spans="1:7" x14ac:dyDescent="0.2">
      <c r="A25" t="s">
        <v>84</v>
      </c>
      <c r="B25" t="s">
        <v>165</v>
      </c>
      <c r="C25" t="s">
        <v>152</v>
      </c>
      <c r="F25" t="s">
        <v>167</v>
      </c>
    </row>
    <row r="26" spans="1:7" x14ac:dyDescent="0.2">
      <c r="A26" s="3" t="s">
        <v>82</v>
      </c>
      <c r="B26" s="3" t="s">
        <v>165</v>
      </c>
      <c r="C26" s="3" t="s">
        <v>164</v>
      </c>
      <c r="F26" t="s">
        <v>166</v>
      </c>
    </row>
    <row r="27" spans="1:7" x14ac:dyDescent="0.2">
      <c r="A27" t="s">
        <v>86</v>
      </c>
      <c r="B27" t="s">
        <v>165</v>
      </c>
      <c r="C27" t="s">
        <v>162</v>
      </c>
    </row>
    <row r="29" spans="1:7" x14ac:dyDescent="0.2">
      <c r="A29" s="3" t="s">
        <v>89</v>
      </c>
      <c r="B29" s="3" t="s">
        <v>163</v>
      </c>
      <c r="C29" s="3" t="s">
        <v>158</v>
      </c>
    </row>
    <row r="30" spans="1:7" x14ac:dyDescent="0.2">
      <c r="A30" t="s">
        <v>90</v>
      </c>
      <c r="B30" t="s">
        <v>163</v>
      </c>
      <c r="C30" t="s">
        <v>157</v>
      </c>
    </row>
    <row r="31" spans="1:7" x14ac:dyDescent="0.2">
      <c r="A31" s="3" t="s">
        <v>94</v>
      </c>
      <c r="B31" s="3" t="s">
        <v>163</v>
      </c>
      <c r="C31" s="3" t="s">
        <v>156</v>
      </c>
    </row>
    <row r="32" spans="1:7" x14ac:dyDescent="0.2">
      <c r="A32" t="s">
        <v>92</v>
      </c>
      <c r="B32" t="s">
        <v>163</v>
      </c>
      <c r="C32" t="s">
        <v>155</v>
      </c>
    </row>
    <row r="33" spans="1:3" x14ac:dyDescent="0.2">
      <c r="A33" s="3" t="s">
        <v>97</v>
      </c>
      <c r="B33" s="3" t="s">
        <v>163</v>
      </c>
      <c r="C33" s="3" t="s">
        <v>154</v>
      </c>
    </row>
    <row r="34" spans="1:3" x14ac:dyDescent="0.2">
      <c r="A34" t="s">
        <v>98</v>
      </c>
      <c r="B34" t="s">
        <v>163</v>
      </c>
      <c r="C34" t="s">
        <v>152</v>
      </c>
    </row>
    <row r="35" spans="1:3" x14ac:dyDescent="0.2">
      <c r="A35" s="3" t="s">
        <v>102</v>
      </c>
      <c r="B35" s="3" t="s">
        <v>163</v>
      </c>
      <c r="C35" s="3" t="s">
        <v>164</v>
      </c>
    </row>
    <row r="36" spans="1:3" x14ac:dyDescent="0.2">
      <c r="A36" t="s">
        <v>100</v>
      </c>
      <c r="B36" t="s">
        <v>163</v>
      </c>
      <c r="C36" t="s">
        <v>162</v>
      </c>
    </row>
    <row r="38" spans="1:3" x14ac:dyDescent="0.2">
      <c r="A38" s="3"/>
      <c r="B38" s="3"/>
      <c r="C38" s="3"/>
    </row>
    <row r="40" spans="1:3" x14ac:dyDescent="0.2">
      <c r="A40" s="3"/>
      <c r="B40" s="3"/>
      <c r="C40" s="3"/>
    </row>
    <row r="42" spans="1:3" x14ac:dyDescent="0.2">
      <c r="A42" s="3"/>
      <c r="B42" s="3"/>
      <c r="C42" s="3"/>
    </row>
    <row r="44" spans="1:3" x14ac:dyDescent="0.2">
      <c r="A44" s="3"/>
      <c r="B44" s="3"/>
      <c r="C44" s="3"/>
    </row>
    <row r="46" spans="1:3" x14ac:dyDescent="0.2">
      <c r="A46" s="3"/>
      <c r="B46" s="3"/>
      <c r="C46" s="3"/>
    </row>
    <row r="48" spans="1:3" x14ac:dyDescent="0.2">
      <c r="A48" s="3"/>
      <c r="B48" s="3"/>
      <c r="C48" s="3"/>
    </row>
    <row r="50" spans="1:3" x14ac:dyDescent="0.2">
      <c r="A50" s="3"/>
      <c r="B50" s="3"/>
      <c r="C50" s="3"/>
    </row>
    <row r="52" spans="1:3" x14ac:dyDescent="0.2">
      <c r="A52" s="3"/>
      <c r="B52" s="3"/>
      <c r="C52" s="3"/>
    </row>
    <row r="54" spans="1:3" x14ac:dyDescent="0.2">
      <c r="A54" s="3"/>
      <c r="B54" s="3"/>
      <c r="C54" s="3"/>
    </row>
    <row r="57" spans="1:3" x14ac:dyDescent="0.2">
      <c r="A57" s="3"/>
      <c r="B57" s="3"/>
      <c r="C57" s="3"/>
    </row>
    <row r="59" spans="1:3" x14ac:dyDescent="0.2">
      <c r="A59" s="3"/>
      <c r="B59" s="3"/>
      <c r="C59" s="3"/>
    </row>
    <row r="61" spans="1:3" x14ac:dyDescent="0.2">
      <c r="A61" s="3"/>
      <c r="B61" s="3"/>
      <c r="C61" s="3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0EF9-98B2-504D-ADCD-63576BACEDDB}">
  <dimension ref="A1:T81"/>
  <sheetViews>
    <sheetView zoomScaleNormal="100" workbookViewId="0">
      <selection activeCell="Z13" sqref="Z13"/>
    </sheetView>
  </sheetViews>
  <sheetFormatPr baseColWidth="10" defaultColWidth="8.33203125" defaultRowHeight="16" x14ac:dyDescent="0.2"/>
  <cols>
    <col min="4" max="4" width="14.5" bestFit="1" customWidth="1"/>
    <col min="5" max="5" width="11.6640625" style="6" customWidth="1"/>
    <col min="6" max="6" width="13.6640625" bestFit="1" customWidth="1"/>
    <col min="16" max="16" width="15.83203125" customWidth="1"/>
    <col min="17" max="17" width="13.6640625" bestFit="1" customWidth="1"/>
    <col min="19" max="19" width="13.33203125" customWidth="1"/>
    <col min="20" max="20" width="16.33203125" bestFit="1" customWidth="1"/>
  </cols>
  <sheetData>
    <row r="1" spans="1:20" ht="40" x14ac:dyDescent="0.25">
      <c r="A1" s="25" t="s">
        <v>176</v>
      </c>
      <c r="B1" t="s">
        <v>8</v>
      </c>
      <c r="C1" t="s">
        <v>9</v>
      </c>
      <c r="D1" t="s">
        <v>10</v>
      </c>
      <c r="E1" s="47" t="s">
        <v>176</v>
      </c>
      <c r="F1" t="s">
        <v>11</v>
      </c>
      <c r="P1" s="54" t="s">
        <v>176</v>
      </c>
      <c r="Q1" s="55" t="s">
        <v>11</v>
      </c>
      <c r="R1" s="55"/>
      <c r="S1" s="54" t="s">
        <v>176</v>
      </c>
      <c r="T1" s="55" t="s">
        <v>11</v>
      </c>
    </row>
    <row r="2" spans="1:20" x14ac:dyDescent="0.2">
      <c r="A2" s="46" t="s">
        <v>41</v>
      </c>
      <c r="B2" s="46" t="s">
        <v>170</v>
      </c>
      <c r="C2" s="46" t="s">
        <v>158</v>
      </c>
      <c r="D2" s="46">
        <v>59</v>
      </c>
      <c r="E2" s="48" t="s">
        <v>41</v>
      </c>
      <c r="F2" s="52">
        <f>D$77/D2</f>
        <v>7.6271186440677967</v>
      </c>
      <c r="H2">
        <f>D2*F2</f>
        <v>450</v>
      </c>
      <c r="P2" s="48" t="s">
        <v>41</v>
      </c>
      <c r="Q2" s="52">
        <v>7.6271186440677967</v>
      </c>
      <c r="S2" s="48" t="s">
        <v>113</v>
      </c>
      <c r="T2" s="52">
        <v>7.6791808873720138</v>
      </c>
    </row>
    <row r="3" spans="1:20" x14ac:dyDescent="0.2">
      <c r="A3" t="s">
        <v>43</v>
      </c>
      <c r="B3" t="s">
        <v>170</v>
      </c>
      <c r="C3" t="s">
        <v>157</v>
      </c>
      <c r="D3">
        <v>57</v>
      </c>
      <c r="E3" s="6" t="s">
        <v>43</v>
      </c>
      <c r="F3" s="52">
        <f t="shared" ref="F3:F66" si="0">D$77/D3</f>
        <v>7.8947368421052628</v>
      </c>
      <c r="P3" s="6" t="s">
        <v>43</v>
      </c>
      <c r="Q3" s="56">
        <v>7.8947368421052628</v>
      </c>
      <c r="S3" s="6" t="s">
        <v>114</v>
      </c>
      <c r="T3" s="56">
        <v>5.9681697612732094</v>
      </c>
    </row>
    <row r="4" spans="1:20" x14ac:dyDescent="0.2">
      <c r="A4" s="46" t="s">
        <v>45</v>
      </c>
      <c r="B4" s="46" t="s">
        <v>170</v>
      </c>
      <c r="C4" s="46" t="s">
        <v>156</v>
      </c>
      <c r="D4" s="46">
        <v>67.400000000000006</v>
      </c>
      <c r="E4" s="48" t="s">
        <v>45</v>
      </c>
      <c r="F4" s="52">
        <f t="shared" si="0"/>
        <v>6.6765578635014835</v>
      </c>
      <c r="P4" s="48" t="s">
        <v>45</v>
      </c>
      <c r="Q4" s="52">
        <v>6.6765578635014835</v>
      </c>
      <c r="S4" s="48" t="s">
        <v>115</v>
      </c>
      <c r="T4" s="52">
        <v>5.8900523560209423</v>
      </c>
    </row>
    <row r="5" spans="1:20" x14ac:dyDescent="0.2">
      <c r="A5" t="s">
        <v>47</v>
      </c>
      <c r="B5" t="s">
        <v>170</v>
      </c>
      <c r="C5" t="s">
        <v>155</v>
      </c>
      <c r="D5">
        <v>79.2</v>
      </c>
      <c r="E5" s="6" t="s">
        <v>47</v>
      </c>
      <c r="F5" s="52">
        <f t="shared" si="0"/>
        <v>5.6818181818181817</v>
      </c>
      <c r="P5" s="6" t="s">
        <v>47</v>
      </c>
      <c r="Q5" s="56">
        <v>5.6818181818181817</v>
      </c>
      <c r="S5" s="6" t="s">
        <v>116</v>
      </c>
      <c r="T5" s="56">
        <v>6.9659442724458209</v>
      </c>
    </row>
    <row r="6" spans="1:20" x14ac:dyDescent="0.2">
      <c r="A6" s="46" t="s">
        <v>49</v>
      </c>
      <c r="B6" s="46" t="s">
        <v>170</v>
      </c>
      <c r="C6" s="46" t="s">
        <v>154</v>
      </c>
      <c r="D6" s="46">
        <v>78.8</v>
      </c>
      <c r="E6" s="48" t="s">
        <v>49</v>
      </c>
      <c r="F6" s="52">
        <f t="shared" si="0"/>
        <v>5.7106598984771573</v>
      </c>
      <c r="P6" s="48" t="s">
        <v>49</v>
      </c>
      <c r="Q6" s="52">
        <v>5.7106598984771573</v>
      </c>
      <c r="S6" s="48" t="s">
        <v>117</v>
      </c>
      <c r="T6" s="52">
        <v>5.5282555282555279</v>
      </c>
    </row>
    <row r="7" spans="1:20" x14ac:dyDescent="0.2">
      <c r="A7" t="s">
        <v>51</v>
      </c>
      <c r="B7" t="s">
        <v>170</v>
      </c>
      <c r="C7" t="s">
        <v>152</v>
      </c>
      <c r="D7">
        <v>69</v>
      </c>
      <c r="E7" s="6" t="s">
        <v>51</v>
      </c>
      <c r="F7" s="52">
        <f t="shared" si="0"/>
        <v>6.5217391304347823</v>
      </c>
      <c r="P7" s="6" t="s">
        <v>51</v>
      </c>
      <c r="Q7" s="56">
        <v>6.5217391304347823</v>
      </c>
      <c r="S7" s="6" t="s">
        <v>118</v>
      </c>
      <c r="T7" s="56">
        <v>6.1813186813186816</v>
      </c>
    </row>
    <row r="8" spans="1:20" ht="17" thickBot="1" x14ac:dyDescent="0.25">
      <c r="A8" s="46" t="s">
        <v>53</v>
      </c>
      <c r="B8" s="46" t="s">
        <v>170</v>
      </c>
      <c r="C8" s="46" t="s">
        <v>164</v>
      </c>
      <c r="D8" s="46">
        <v>56</v>
      </c>
      <c r="E8" s="48" t="s">
        <v>53</v>
      </c>
      <c r="F8" s="52">
        <f t="shared" si="0"/>
        <v>8.0357142857142865</v>
      </c>
      <c r="P8" s="48" t="s">
        <v>53</v>
      </c>
      <c r="Q8" s="52">
        <v>8.0357142857142865</v>
      </c>
      <c r="S8" s="50" t="s">
        <v>119</v>
      </c>
      <c r="T8" s="53">
        <v>5.1369863013698636</v>
      </c>
    </row>
    <row r="9" spans="1:20" ht="17" thickBot="1" x14ac:dyDescent="0.25">
      <c r="A9" s="29" t="s">
        <v>55</v>
      </c>
      <c r="B9" s="29" t="s">
        <v>170</v>
      </c>
      <c r="C9" s="29" t="s">
        <v>162</v>
      </c>
      <c r="D9" s="29">
        <v>60.6</v>
      </c>
      <c r="E9" s="49" t="s">
        <v>55</v>
      </c>
      <c r="F9" s="53">
        <f t="shared" si="0"/>
        <v>7.4257425742574252</v>
      </c>
      <c r="P9" s="49" t="s">
        <v>55</v>
      </c>
      <c r="Q9" s="57">
        <v>7.4257425742574252</v>
      </c>
      <c r="S9" s="6"/>
      <c r="T9" s="56"/>
    </row>
    <row r="10" spans="1:20" x14ac:dyDescent="0.2">
      <c r="F10" s="52"/>
      <c r="P10" s="6"/>
      <c r="Q10" s="56"/>
      <c r="S10" s="48" t="s">
        <v>127</v>
      </c>
      <c r="T10" s="52">
        <v>6.0483870967741931</v>
      </c>
    </row>
    <row r="11" spans="1:20" x14ac:dyDescent="0.2">
      <c r="A11" s="46" t="s">
        <v>57</v>
      </c>
      <c r="B11" s="46" t="s">
        <v>168</v>
      </c>
      <c r="C11" s="46" t="s">
        <v>158</v>
      </c>
      <c r="D11" s="46">
        <v>71.599999999999994</v>
      </c>
      <c r="E11" s="48" t="s">
        <v>57</v>
      </c>
      <c r="F11" s="52">
        <f t="shared" si="0"/>
        <v>6.2849162011173192</v>
      </c>
      <c r="P11" s="48" t="s">
        <v>57</v>
      </c>
      <c r="Q11" s="52">
        <v>6.2849162011173192</v>
      </c>
      <c r="S11" s="6" t="s">
        <v>126</v>
      </c>
      <c r="T11" s="56">
        <v>6.1643835616438354</v>
      </c>
    </row>
    <row r="12" spans="1:20" x14ac:dyDescent="0.2">
      <c r="A12" t="s">
        <v>60</v>
      </c>
      <c r="B12" t="s">
        <v>168</v>
      </c>
      <c r="C12" t="s">
        <v>157</v>
      </c>
      <c r="D12">
        <v>67.2</v>
      </c>
      <c r="E12" s="6" t="s">
        <v>60</v>
      </c>
      <c r="F12" s="52">
        <f t="shared" si="0"/>
        <v>6.6964285714285712</v>
      </c>
      <c r="P12" s="6" t="s">
        <v>60</v>
      </c>
      <c r="Q12" s="56">
        <v>6.6964285714285712</v>
      </c>
      <c r="S12" s="48" t="s">
        <v>125</v>
      </c>
      <c r="T12" s="52">
        <v>5.8290155440414502</v>
      </c>
    </row>
    <row r="13" spans="1:20" x14ac:dyDescent="0.2">
      <c r="A13" s="46" t="s">
        <v>61</v>
      </c>
      <c r="B13" s="46" t="s">
        <v>168</v>
      </c>
      <c r="C13" s="46" t="s">
        <v>156</v>
      </c>
      <c r="D13" s="46">
        <v>64.8</v>
      </c>
      <c r="E13" s="48" t="s">
        <v>61</v>
      </c>
      <c r="F13" s="52">
        <f t="shared" si="0"/>
        <v>6.9444444444444446</v>
      </c>
      <c r="P13" s="48" t="s">
        <v>61</v>
      </c>
      <c r="Q13" s="52">
        <v>6.9444444444444446</v>
      </c>
      <c r="S13" s="6" t="s">
        <v>128</v>
      </c>
      <c r="T13" s="56">
        <v>6.4469914040114613</v>
      </c>
    </row>
    <row r="14" spans="1:20" x14ac:dyDescent="0.2">
      <c r="A14" t="s">
        <v>58</v>
      </c>
      <c r="B14" t="s">
        <v>168</v>
      </c>
      <c r="C14" t="s">
        <v>155</v>
      </c>
      <c r="D14">
        <v>65.400000000000006</v>
      </c>
      <c r="E14" s="6" t="s">
        <v>58</v>
      </c>
      <c r="F14" s="52">
        <f t="shared" si="0"/>
        <v>6.8807339449541276</v>
      </c>
      <c r="P14" s="6" t="s">
        <v>58</v>
      </c>
      <c r="Q14" s="56">
        <v>6.8807339449541276</v>
      </c>
      <c r="S14" s="48" t="s">
        <v>129</v>
      </c>
      <c r="T14" s="52">
        <v>5.5693069306930694</v>
      </c>
    </row>
    <row r="15" spans="1:20" x14ac:dyDescent="0.2">
      <c r="A15" s="46" t="s">
        <v>65</v>
      </c>
      <c r="B15" s="46" t="s">
        <v>168</v>
      </c>
      <c r="C15" s="46" t="s">
        <v>154</v>
      </c>
      <c r="D15" s="46">
        <v>82.8</v>
      </c>
      <c r="E15" s="48" t="s">
        <v>65</v>
      </c>
      <c r="F15" s="52">
        <f t="shared" si="0"/>
        <v>5.4347826086956523</v>
      </c>
      <c r="P15" s="48" t="s">
        <v>65</v>
      </c>
      <c r="Q15" s="52">
        <v>5.4347826086956523</v>
      </c>
      <c r="S15" s="6" t="s">
        <v>130</v>
      </c>
      <c r="T15" s="56">
        <v>5.625</v>
      </c>
    </row>
    <row r="16" spans="1:20" ht="17" thickBot="1" x14ac:dyDescent="0.25">
      <c r="A16" t="s">
        <v>68</v>
      </c>
      <c r="B16" t="s">
        <v>168</v>
      </c>
      <c r="C16" t="s">
        <v>152</v>
      </c>
      <c r="D16">
        <v>64</v>
      </c>
      <c r="E16" s="6" t="s">
        <v>68</v>
      </c>
      <c r="F16" s="52">
        <f t="shared" si="0"/>
        <v>7.03125</v>
      </c>
      <c r="P16" s="6" t="s">
        <v>68</v>
      </c>
      <c r="Q16" s="56">
        <v>7.03125</v>
      </c>
      <c r="S16" s="50" t="s">
        <v>131</v>
      </c>
      <c r="T16" s="53">
        <v>6.3920454545454541</v>
      </c>
    </row>
    <row r="17" spans="1:20" x14ac:dyDescent="0.2">
      <c r="A17" s="46" t="s">
        <v>69</v>
      </c>
      <c r="B17" s="46" t="s">
        <v>168</v>
      </c>
      <c r="C17" s="46" t="s">
        <v>164</v>
      </c>
      <c r="D17" s="46">
        <v>70.400000000000006</v>
      </c>
      <c r="E17" s="48" t="s">
        <v>69</v>
      </c>
      <c r="F17" s="52">
        <f t="shared" si="0"/>
        <v>6.3920454545454541</v>
      </c>
      <c r="P17" s="48" t="s">
        <v>69</v>
      </c>
      <c r="Q17" s="52">
        <v>6.3920454545454541</v>
      </c>
      <c r="S17" s="6"/>
      <c r="T17" s="56"/>
    </row>
    <row r="18" spans="1:20" ht="17" thickBot="1" x14ac:dyDescent="0.25">
      <c r="A18" s="29" t="s">
        <v>66</v>
      </c>
      <c r="B18" s="29" t="s">
        <v>168</v>
      </c>
      <c r="C18" s="29" t="s">
        <v>162</v>
      </c>
      <c r="D18" s="29">
        <v>66.2</v>
      </c>
      <c r="E18" s="49" t="s">
        <v>66</v>
      </c>
      <c r="F18" s="53">
        <f t="shared" si="0"/>
        <v>6.7975830815709966</v>
      </c>
      <c r="P18" s="49" t="s">
        <v>66</v>
      </c>
      <c r="Q18" s="57">
        <v>6.7975830815709966</v>
      </c>
      <c r="S18" s="48" t="s">
        <v>133</v>
      </c>
      <c r="T18" s="52">
        <v>6.25</v>
      </c>
    </row>
    <row r="19" spans="1:20" x14ac:dyDescent="0.2">
      <c r="F19" s="52"/>
      <c r="P19" s="6"/>
      <c r="Q19" s="56"/>
      <c r="S19" s="6" t="s">
        <v>134</v>
      </c>
      <c r="T19" s="56">
        <v>5.0904977375565608</v>
      </c>
    </row>
    <row r="20" spans="1:20" x14ac:dyDescent="0.2">
      <c r="A20" s="46" t="s">
        <v>73</v>
      </c>
      <c r="B20" s="46" t="s">
        <v>165</v>
      </c>
      <c r="C20" s="46" t="s">
        <v>158</v>
      </c>
      <c r="D20" s="46">
        <v>75.8</v>
      </c>
      <c r="E20" s="48" t="s">
        <v>73</v>
      </c>
      <c r="F20" s="52">
        <f t="shared" si="0"/>
        <v>5.9366754617414248</v>
      </c>
      <c r="P20" s="48" t="s">
        <v>73</v>
      </c>
      <c r="Q20" s="52">
        <v>5.9366754617414248</v>
      </c>
      <c r="S20" s="48" t="s">
        <v>132</v>
      </c>
      <c r="T20" s="52">
        <v>6.5028901734104041</v>
      </c>
    </row>
    <row r="21" spans="1:20" x14ac:dyDescent="0.2">
      <c r="A21" t="s">
        <v>76</v>
      </c>
      <c r="B21" t="s">
        <v>165</v>
      </c>
      <c r="C21" t="s">
        <v>157</v>
      </c>
      <c r="D21">
        <v>79.599999999999994</v>
      </c>
      <c r="E21" s="6" t="s">
        <v>76</v>
      </c>
      <c r="F21" s="52">
        <f t="shared" si="0"/>
        <v>5.6532663316582923</v>
      </c>
      <c r="P21" s="6" t="s">
        <v>76</v>
      </c>
      <c r="Q21" s="56">
        <v>5.6532663316582923</v>
      </c>
      <c r="S21" s="6" t="s">
        <v>135</v>
      </c>
      <c r="T21" s="56">
        <v>6.032171581769437</v>
      </c>
    </row>
    <row r="22" spans="1:20" x14ac:dyDescent="0.2">
      <c r="A22" s="46" t="s">
        <v>74</v>
      </c>
      <c r="B22" s="46" t="s">
        <v>165</v>
      </c>
      <c r="C22" s="46" t="s">
        <v>156</v>
      </c>
      <c r="D22" s="46">
        <v>67.2</v>
      </c>
      <c r="E22" s="48" t="s">
        <v>74</v>
      </c>
      <c r="F22" s="52">
        <f t="shared" si="0"/>
        <v>6.6964285714285712</v>
      </c>
      <c r="P22" s="48" t="s">
        <v>74</v>
      </c>
      <c r="Q22" s="52">
        <v>6.6964285714285712</v>
      </c>
      <c r="S22" s="48" t="s">
        <v>137</v>
      </c>
      <c r="T22" s="52">
        <v>5.8746736292428201</v>
      </c>
    </row>
    <row r="23" spans="1:20" x14ac:dyDescent="0.2">
      <c r="A23" t="s">
        <v>78</v>
      </c>
      <c r="B23" t="s">
        <v>165</v>
      </c>
      <c r="C23" t="s">
        <v>155</v>
      </c>
      <c r="D23">
        <v>62.4</v>
      </c>
      <c r="E23" s="6" t="s">
        <v>78</v>
      </c>
      <c r="F23" s="52">
        <f t="shared" si="0"/>
        <v>7.2115384615384617</v>
      </c>
      <c r="P23" s="6" t="s">
        <v>78</v>
      </c>
      <c r="Q23" s="56">
        <v>7.2115384615384617</v>
      </c>
      <c r="S23" s="6" t="s">
        <v>138</v>
      </c>
      <c r="T23" s="56">
        <v>5</v>
      </c>
    </row>
    <row r="24" spans="1:20" x14ac:dyDescent="0.2">
      <c r="A24" s="46" t="s">
        <v>81</v>
      </c>
      <c r="B24" s="46" t="s">
        <v>165</v>
      </c>
      <c r="C24" s="46" t="s">
        <v>154</v>
      </c>
      <c r="D24" s="46">
        <v>70.599999999999994</v>
      </c>
      <c r="E24" s="48" t="s">
        <v>81</v>
      </c>
      <c r="F24" s="52">
        <f t="shared" si="0"/>
        <v>6.3739376770538252</v>
      </c>
      <c r="P24" s="48" t="s">
        <v>81</v>
      </c>
      <c r="Q24" s="52">
        <v>6.3739376770538252</v>
      </c>
      <c r="S24" s="48" t="s">
        <v>139</v>
      </c>
      <c r="T24" s="52">
        <v>6.4102564102564097</v>
      </c>
    </row>
    <row r="25" spans="1:20" x14ac:dyDescent="0.2">
      <c r="A25" t="s">
        <v>84</v>
      </c>
      <c r="B25" t="s">
        <v>165</v>
      </c>
      <c r="C25" t="s">
        <v>152</v>
      </c>
      <c r="D25">
        <v>86.8</v>
      </c>
      <c r="E25" s="6" t="s">
        <v>84</v>
      </c>
      <c r="F25" s="52">
        <f t="shared" si="0"/>
        <v>5.1843317972350231</v>
      </c>
      <c r="P25" s="6" t="s">
        <v>84</v>
      </c>
      <c r="Q25" s="56">
        <v>5.1843317972350231</v>
      </c>
      <c r="S25" s="6" t="s">
        <v>136</v>
      </c>
      <c r="T25" s="56">
        <v>4.166666666666667</v>
      </c>
    </row>
    <row r="26" spans="1:20" x14ac:dyDescent="0.2">
      <c r="A26" s="46" t="s">
        <v>82</v>
      </c>
      <c r="B26" s="46" t="s">
        <v>165</v>
      </c>
      <c r="C26" s="46" t="s">
        <v>164</v>
      </c>
      <c r="D26" s="46">
        <v>77</v>
      </c>
      <c r="E26" s="48" t="s">
        <v>82</v>
      </c>
      <c r="F26" s="52">
        <f t="shared" si="0"/>
        <v>5.8441558441558445</v>
      </c>
      <c r="P26" s="48" t="s">
        <v>82</v>
      </c>
      <c r="Q26" s="52">
        <v>5.8441558441558445</v>
      </c>
      <c r="S26" s="48" t="s">
        <v>140</v>
      </c>
      <c r="T26" s="52">
        <v>5.4744525547445253</v>
      </c>
    </row>
    <row r="27" spans="1:20" ht="17" thickBot="1" x14ac:dyDescent="0.25">
      <c r="A27" s="29" t="s">
        <v>86</v>
      </c>
      <c r="B27" s="29" t="s">
        <v>165</v>
      </c>
      <c r="C27" s="29" t="s">
        <v>162</v>
      </c>
      <c r="D27" s="29">
        <v>83.8</v>
      </c>
      <c r="E27" s="49" t="s">
        <v>86</v>
      </c>
      <c r="F27" s="53">
        <f t="shared" si="0"/>
        <v>5.3699284009546542</v>
      </c>
      <c r="P27" s="49" t="s">
        <v>86</v>
      </c>
      <c r="Q27" s="57">
        <v>5.3699284009546542</v>
      </c>
      <c r="S27" s="49" t="s">
        <v>141</v>
      </c>
      <c r="T27" s="57">
        <v>6.2154696132596676</v>
      </c>
    </row>
    <row r="28" spans="1:20" x14ac:dyDescent="0.2">
      <c r="F28" s="52"/>
      <c r="P28" s="6"/>
      <c r="Q28" s="56"/>
      <c r="S28" s="6"/>
      <c r="T28" s="56"/>
    </row>
    <row r="29" spans="1:20" x14ac:dyDescent="0.2">
      <c r="A29" s="46" t="s">
        <v>89</v>
      </c>
      <c r="B29" s="46" t="s">
        <v>163</v>
      </c>
      <c r="C29" s="46" t="s">
        <v>158</v>
      </c>
      <c r="D29" s="46">
        <v>58.6</v>
      </c>
      <c r="E29" s="48" t="s">
        <v>89</v>
      </c>
      <c r="F29" s="52">
        <f t="shared" si="0"/>
        <v>7.6791808873720138</v>
      </c>
      <c r="P29" s="48" t="s">
        <v>89</v>
      </c>
      <c r="Q29" s="52">
        <v>7.6791808873720138</v>
      </c>
      <c r="S29" s="48" t="s">
        <v>146</v>
      </c>
      <c r="T29" s="52">
        <v>6.0810810810810807</v>
      </c>
    </row>
    <row r="30" spans="1:20" x14ac:dyDescent="0.2">
      <c r="A30" t="s">
        <v>90</v>
      </c>
      <c r="B30" t="s">
        <v>163</v>
      </c>
      <c r="C30" t="s">
        <v>157</v>
      </c>
      <c r="D30">
        <v>72.8</v>
      </c>
      <c r="E30" s="6" t="s">
        <v>90</v>
      </c>
      <c r="F30" s="52">
        <f t="shared" si="0"/>
        <v>6.1813186813186816</v>
      </c>
      <c r="P30" s="6" t="s">
        <v>90</v>
      </c>
      <c r="Q30" s="56">
        <v>6.1813186813186816</v>
      </c>
      <c r="S30" s="6" t="s">
        <v>145</v>
      </c>
      <c r="T30" s="56">
        <v>5.1020408163265305</v>
      </c>
    </row>
    <row r="31" spans="1:20" x14ac:dyDescent="0.2">
      <c r="A31" s="46" t="s">
        <v>94</v>
      </c>
      <c r="B31" s="46" t="s">
        <v>163</v>
      </c>
      <c r="C31" s="46" t="s">
        <v>156</v>
      </c>
      <c r="D31" s="46">
        <v>73.599999999999994</v>
      </c>
      <c r="E31" s="48" t="s">
        <v>94</v>
      </c>
      <c r="F31" s="52">
        <f t="shared" si="0"/>
        <v>6.1141304347826093</v>
      </c>
      <c r="P31" s="48" t="s">
        <v>94</v>
      </c>
      <c r="Q31" s="52">
        <v>6.1141304347826093</v>
      </c>
      <c r="S31" s="48" t="s">
        <v>147</v>
      </c>
      <c r="T31" s="52">
        <v>5.7251908396946565</v>
      </c>
    </row>
    <row r="32" spans="1:20" x14ac:dyDescent="0.2">
      <c r="A32" t="s">
        <v>92</v>
      </c>
      <c r="B32" t="s">
        <v>163</v>
      </c>
      <c r="C32" t="s">
        <v>155</v>
      </c>
      <c r="D32">
        <v>64</v>
      </c>
      <c r="E32" s="6" t="s">
        <v>92</v>
      </c>
      <c r="F32" s="52">
        <f t="shared" si="0"/>
        <v>7.03125</v>
      </c>
      <c r="P32" s="6" t="s">
        <v>92</v>
      </c>
      <c r="Q32" s="56">
        <v>7.03125</v>
      </c>
      <c r="S32" s="6" t="s">
        <v>144</v>
      </c>
      <c r="T32" s="56">
        <v>6.2849162011173192</v>
      </c>
    </row>
    <row r="33" spans="1:20" x14ac:dyDescent="0.2">
      <c r="A33" s="46" t="s">
        <v>97</v>
      </c>
      <c r="B33" s="46" t="s">
        <v>163</v>
      </c>
      <c r="C33" s="46" t="s">
        <v>154</v>
      </c>
      <c r="D33" s="46">
        <v>82.2</v>
      </c>
      <c r="E33" s="48" t="s">
        <v>97</v>
      </c>
      <c r="F33" s="52">
        <f t="shared" si="0"/>
        <v>5.4744525547445253</v>
      </c>
      <c r="P33" s="48" t="s">
        <v>97</v>
      </c>
      <c r="Q33" s="52">
        <v>5.4744525547445253</v>
      </c>
      <c r="S33" s="48" t="s">
        <v>142</v>
      </c>
      <c r="T33" s="52">
        <v>5.4611650485436893</v>
      </c>
    </row>
    <row r="34" spans="1:20" x14ac:dyDescent="0.2">
      <c r="A34" t="s">
        <v>98</v>
      </c>
      <c r="B34" t="s">
        <v>163</v>
      </c>
      <c r="C34" t="s">
        <v>152</v>
      </c>
      <c r="D34">
        <v>73.2</v>
      </c>
      <c r="E34" s="6" t="s">
        <v>98</v>
      </c>
      <c r="F34" s="52">
        <f t="shared" si="0"/>
        <v>6.1475409836065573</v>
      </c>
      <c r="P34" s="6" t="s">
        <v>98</v>
      </c>
      <c r="Q34" s="56">
        <v>6.1475409836065573</v>
      </c>
      <c r="S34" s="6" t="s">
        <v>149</v>
      </c>
      <c r="T34" s="56">
        <v>5.6109725685785534</v>
      </c>
    </row>
    <row r="35" spans="1:20" x14ac:dyDescent="0.2">
      <c r="A35" s="46" t="s">
        <v>102</v>
      </c>
      <c r="B35" s="46" t="s">
        <v>163</v>
      </c>
      <c r="C35" s="46" t="s">
        <v>164</v>
      </c>
      <c r="D35" s="46">
        <v>72.8</v>
      </c>
      <c r="E35" s="48" t="s">
        <v>102</v>
      </c>
      <c r="F35" s="52">
        <f t="shared" si="0"/>
        <v>6.1813186813186816</v>
      </c>
      <c r="P35" s="48" t="s">
        <v>102</v>
      </c>
      <c r="Q35" s="52">
        <v>6.1813186813186816</v>
      </c>
      <c r="S35" s="48" t="s">
        <v>150</v>
      </c>
      <c r="T35" s="52">
        <v>5.6675062972292185</v>
      </c>
    </row>
    <row r="36" spans="1:20" ht="17" thickBot="1" x14ac:dyDescent="0.25">
      <c r="A36" s="29" t="s">
        <v>100</v>
      </c>
      <c r="B36" s="29" t="s">
        <v>163</v>
      </c>
      <c r="C36" s="29" t="s">
        <v>162</v>
      </c>
      <c r="D36" s="29">
        <v>66</v>
      </c>
      <c r="E36" s="49" t="s">
        <v>100</v>
      </c>
      <c r="F36" s="53">
        <f t="shared" si="0"/>
        <v>6.8181818181818183</v>
      </c>
      <c r="P36" s="49" t="s">
        <v>100</v>
      </c>
      <c r="Q36" s="57">
        <v>6.8181818181818183</v>
      </c>
      <c r="S36" s="6" t="s">
        <v>143</v>
      </c>
      <c r="T36" s="56">
        <v>6.032171581769437</v>
      </c>
    </row>
    <row r="37" spans="1:20" x14ac:dyDescent="0.2">
      <c r="F37" s="52"/>
      <c r="S37" s="48" t="s">
        <v>151</v>
      </c>
      <c r="T37" s="52">
        <v>6.5406976744186052</v>
      </c>
    </row>
    <row r="38" spans="1:20" ht="17" thickBot="1" x14ac:dyDescent="0.25">
      <c r="A38" s="46" t="s">
        <v>113</v>
      </c>
      <c r="B38" s="46" t="s">
        <v>161</v>
      </c>
      <c r="C38" s="46" t="s">
        <v>158</v>
      </c>
      <c r="D38" s="46">
        <v>58.6</v>
      </c>
      <c r="E38" s="48" t="s">
        <v>113</v>
      </c>
      <c r="F38" s="52">
        <f t="shared" si="0"/>
        <v>7.6791808873720138</v>
      </c>
      <c r="S38" s="49" t="s">
        <v>148</v>
      </c>
      <c r="T38" s="57">
        <v>5.6532663316582923</v>
      </c>
    </row>
    <row r="39" spans="1:20" x14ac:dyDescent="0.2">
      <c r="A39" t="s">
        <v>114</v>
      </c>
      <c r="B39" t="s">
        <v>161</v>
      </c>
      <c r="C39" t="s">
        <v>157</v>
      </c>
      <c r="D39">
        <v>75.400000000000006</v>
      </c>
      <c r="E39" s="6" t="s">
        <v>114</v>
      </c>
      <c r="F39" s="52">
        <f t="shared" si="0"/>
        <v>5.9681697612732094</v>
      </c>
    </row>
    <row r="40" spans="1:20" x14ac:dyDescent="0.2">
      <c r="A40" s="46" t="s">
        <v>115</v>
      </c>
      <c r="B40" s="46" t="s">
        <v>161</v>
      </c>
      <c r="C40" s="46" t="s">
        <v>156</v>
      </c>
      <c r="D40" s="46">
        <v>76.400000000000006</v>
      </c>
      <c r="E40" s="48" t="s">
        <v>115</v>
      </c>
      <c r="F40" s="52">
        <f t="shared" si="0"/>
        <v>5.8900523560209423</v>
      </c>
    </row>
    <row r="41" spans="1:20" x14ac:dyDescent="0.2">
      <c r="A41" t="s">
        <v>116</v>
      </c>
      <c r="B41" t="s">
        <v>161</v>
      </c>
      <c r="C41" t="s">
        <v>155</v>
      </c>
      <c r="D41">
        <v>64.599999999999994</v>
      </c>
      <c r="E41" s="6" t="s">
        <v>116</v>
      </c>
      <c r="F41" s="52">
        <f t="shared" si="0"/>
        <v>6.9659442724458209</v>
      </c>
    </row>
    <row r="42" spans="1:20" x14ac:dyDescent="0.2">
      <c r="A42" s="46" t="s">
        <v>117</v>
      </c>
      <c r="B42" s="46" t="s">
        <v>161</v>
      </c>
      <c r="C42" s="46" t="s">
        <v>154</v>
      </c>
      <c r="D42" s="46">
        <v>81.400000000000006</v>
      </c>
      <c r="E42" s="48" t="s">
        <v>117</v>
      </c>
      <c r="F42" s="52">
        <f t="shared" si="0"/>
        <v>5.5282555282555279</v>
      </c>
    </row>
    <row r="43" spans="1:20" x14ac:dyDescent="0.2">
      <c r="A43" t="s">
        <v>118</v>
      </c>
      <c r="B43" t="s">
        <v>161</v>
      </c>
      <c r="C43" t="s">
        <v>152</v>
      </c>
      <c r="D43">
        <v>72.8</v>
      </c>
      <c r="E43" s="6" t="s">
        <v>118</v>
      </c>
      <c r="F43" s="52">
        <f t="shared" si="0"/>
        <v>6.1813186813186816</v>
      </c>
    </row>
    <row r="44" spans="1:20" ht="17" thickBot="1" x14ac:dyDescent="0.25">
      <c r="A44" s="51" t="s">
        <v>119</v>
      </c>
      <c r="B44" s="51" t="s">
        <v>161</v>
      </c>
      <c r="C44" s="51" t="s">
        <v>164</v>
      </c>
      <c r="D44" s="51">
        <v>87.6</v>
      </c>
      <c r="E44" s="50" t="s">
        <v>119</v>
      </c>
      <c r="F44" s="53">
        <f t="shared" si="0"/>
        <v>5.1369863013698636</v>
      </c>
    </row>
    <row r="45" spans="1:20" x14ac:dyDescent="0.2">
      <c r="F45" s="52"/>
    </row>
    <row r="46" spans="1:20" x14ac:dyDescent="0.2">
      <c r="A46" s="46" t="s">
        <v>127</v>
      </c>
      <c r="B46" s="46" t="s">
        <v>160</v>
      </c>
      <c r="C46" s="46" t="s">
        <v>158</v>
      </c>
      <c r="D46" s="46">
        <v>74.400000000000006</v>
      </c>
      <c r="E46" s="48" t="s">
        <v>127</v>
      </c>
      <c r="F46" s="52">
        <f t="shared" si="0"/>
        <v>6.0483870967741931</v>
      </c>
    </row>
    <row r="47" spans="1:20" x14ac:dyDescent="0.2">
      <c r="A47" t="s">
        <v>126</v>
      </c>
      <c r="B47" t="s">
        <v>160</v>
      </c>
      <c r="C47" t="s">
        <v>157</v>
      </c>
      <c r="D47">
        <v>73</v>
      </c>
      <c r="E47" s="6" t="s">
        <v>126</v>
      </c>
      <c r="F47" s="52">
        <f t="shared" si="0"/>
        <v>6.1643835616438354</v>
      </c>
    </row>
    <row r="48" spans="1:20" x14ac:dyDescent="0.2">
      <c r="A48" s="46" t="s">
        <v>125</v>
      </c>
      <c r="B48" s="46" t="s">
        <v>160</v>
      </c>
      <c r="C48" s="46" t="s">
        <v>156</v>
      </c>
      <c r="D48" s="46">
        <v>77.2</v>
      </c>
      <c r="E48" s="48" t="s">
        <v>125</v>
      </c>
      <c r="F48" s="52">
        <f t="shared" si="0"/>
        <v>5.8290155440414502</v>
      </c>
    </row>
    <row r="49" spans="1:6" x14ac:dyDescent="0.2">
      <c r="A49" t="s">
        <v>128</v>
      </c>
      <c r="B49" t="s">
        <v>160</v>
      </c>
      <c r="C49" t="s">
        <v>155</v>
      </c>
      <c r="D49">
        <v>69.8</v>
      </c>
      <c r="E49" s="6" t="s">
        <v>128</v>
      </c>
      <c r="F49" s="52">
        <f t="shared" si="0"/>
        <v>6.4469914040114613</v>
      </c>
    </row>
    <row r="50" spans="1:6" x14ac:dyDescent="0.2">
      <c r="A50" s="46" t="s">
        <v>129</v>
      </c>
      <c r="B50" s="46" t="s">
        <v>160</v>
      </c>
      <c r="C50" s="46" t="s">
        <v>154</v>
      </c>
      <c r="D50" s="46">
        <v>80.8</v>
      </c>
      <c r="E50" s="48" t="s">
        <v>129</v>
      </c>
      <c r="F50" s="52">
        <f t="shared" si="0"/>
        <v>5.5693069306930694</v>
      </c>
    </row>
    <row r="51" spans="1:6" x14ac:dyDescent="0.2">
      <c r="A51" t="s">
        <v>130</v>
      </c>
      <c r="B51" t="s">
        <v>160</v>
      </c>
      <c r="C51" t="s">
        <v>152</v>
      </c>
      <c r="D51">
        <v>80</v>
      </c>
      <c r="E51" s="6" t="s">
        <v>130</v>
      </c>
      <c r="F51" s="52">
        <f t="shared" si="0"/>
        <v>5.625</v>
      </c>
    </row>
    <row r="52" spans="1:6" ht="17" thickBot="1" x14ac:dyDescent="0.25">
      <c r="A52" s="51" t="s">
        <v>131</v>
      </c>
      <c r="B52" s="51" t="s">
        <v>160</v>
      </c>
      <c r="C52" s="51" t="s">
        <v>164</v>
      </c>
      <c r="D52" s="51">
        <v>70.400000000000006</v>
      </c>
      <c r="E52" s="50" t="s">
        <v>131</v>
      </c>
      <c r="F52" s="53">
        <f t="shared" si="0"/>
        <v>6.3920454545454541</v>
      </c>
    </row>
    <row r="53" spans="1:6" x14ac:dyDescent="0.2">
      <c r="F53" s="52"/>
    </row>
    <row r="54" spans="1:6" x14ac:dyDescent="0.2">
      <c r="A54" s="46" t="s">
        <v>133</v>
      </c>
      <c r="B54" s="46" t="s">
        <v>159</v>
      </c>
      <c r="C54" s="46" t="s">
        <v>158</v>
      </c>
      <c r="D54" s="46">
        <v>72</v>
      </c>
      <c r="E54" s="48" t="s">
        <v>133</v>
      </c>
      <c r="F54" s="52">
        <f t="shared" si="0"/>
        <v>6.25</v>
      </c>
    </row>
    <row r="55" spans="1:6" x14ac:dyDescent="0.2">
      <c r="A55" t="s">
        <v>134</v>
      </c>
      <c r="B55" t="s">
        <v>159</v>
      </c>
      <c r="C55" t="s">
        <v>157</v>
      </c>
      <c r="D55">
        <v>88.4</v>
      </c>
      <c r="E55" s="6" t="s">
        <v>134</v>
      </c>
      <c r="F55" s="52">
        <f t="shared" si="0"/>
        <v>5.0904977375565608</v>
      </c>
    </row>
    <row r="56" spans="1:6" x14ac:dyDescent="0.2">
      <c r="A56" s="46" t="s">
        <v>132</v>
      </c>
      <c r="B56" s="46" t="s">
        <v>159</v>
      </c>
      <c r="C56" s="46" t="s">
        <v>156</v>
      </c>
      <c r="D56" s="46">
        <v>69.2</v>
      </c>
      <c r="E56" s="48" t="s">
        <v>132</v>
      </c>
      <c r="F56" s="52">
        <f t="shared" si="0"/>
        <v>6.5028901734104041</v>
      </c>
    </row>
    <row r="57" spans="1:6" x14ac:dyDescent="0.2">
      <c r="A57" t="s">
        <v>135</v>
      </c>
      <c r="B57" t="s">
        <v>159</v>
      </c>
      <c r="C57" t="s">
        <v>155</v>
      </c>
      <c r="D57">
        <v>74.599999999999994</v>
      </c>
      <c r="E57" s="6" t="s">
        <v>135</v>
      </c>
      <c r="F57" s="52">
        <f t="shared" si="0"/>
        <v>6.032171581769437</v>
      </c>
    </row>
    <row r="58" spans="1:6" x14ac:dyDescent="0.2">
      <c r="A58" s="46" t="s">
        <v>137</v>
      </c>
      <c r="B58" s="46" t="s">
        <v>159</v>
      </c>
      <c r="C58" s="46" t="s">
        <v>154</v>
      </c>
      <c r="D58" s="46">
        <v>76.599999999999994</v>
      </c>
      <c r="E58" s="48" t="s">
        <v>137</v>
      </c>
      <c r="F58" s="52">
        <f t="shared" si="0"/>
        <v>5.8746736292428201</v>
      </c>
    </row>
    <row r="59" spans="1:6" x14ac:dyDescent="0.2">
      <c r="A59" t="s">
        <v>138</v>
      </c>
      <c r="B59" t="s">
        <v>159</v>
      </c>
      <c r="C59" t="s">
        <v>152</v>
      </c>
      <c r="D59">
        <v>90</v>
      </c>
      <c r="E59" s="6" t="s">
        <v>138</v>
      </c>
      <c r="F59" s="52">
        <f t="shared" si="0"/>
        <v>5</v>
      </c>
    </row>
    <row r="60" spans="1:6" x14ac:dyDescent="0.2">
      <c r="A60" s="46" t="s">
        <v>139</v>
      </c>
      <c r="B60" s="46" t="s">
        <v>159</v>
      </c>
      <c r="C60" s="46" t="s">
        <v>164</v>
      </c>
      <c r="D60" s="46">
        <v>70.2</v>
      </c>
      <c r="E60" s="48" t="s">
        <v>139</v>
      </c>
      <c r="F60" s="52">
        <f t="shared" si="0"/>
        <v>6.4102564102564097</v>
      </c>
    </row>
    <row r="61" spans="1:6" x14ac:dyDescent="0.2">
      <c r="A61" t="s">
        <v>136</v>
      </c>
      <c r="B61" t="s">
        <v>159</v>
      </c>
      <c r="C61" t="s">
        <v>162</v>
      </c>
      <c r="D61">
        <v>108</v>
      </c>
      <c r="E61" s="6" t="s">
        <v>136</v>
      </c>
      <c r="F61" s="52">
        <f t="shared" si="0"/>
        <v>4.166666666666667</v>
      </c>
    </row>
    <row r="62" spans="1:6" x14ac:dyDescent="0.2">
      <c r="A62" s="46" t="s">
        <v>140</v>
      </c>
      <c r="B62" s="46" t="s">
        <v>159</v>
      </c>
      <c r="C62" s="46" t="s">
        <v>287</v>
      </c>
      <c r="D62" s="46">
        <v>82.2</v>
      </c>
      <c r="E62" s="48" t="s">
        <v>140</v>
      </c>
      <c r="F62" s="52">
        <f t="shared" si="0"/>
        <v>5.4744525547445253</v>
      </c>
    </row>
    <row r="63" spans="1:6" ht="17" thickBot="1" x14ac:dyDescent="0.25">
      <c r="A63" s="29" t="s">
        <v>141</v>
      </c>
      <c r="B63" s="29" t="s">
        <v>159</v>
      </c>
      <c r="C63" s="29" t="s">
        <v>286</v>
      </c>
      <c r="D63" s="29">
        <v>72.400000000000006</v>
      </c>
      <c r="E63" s="49" t="s">
        <v>141</v>
      </c>
      <c r="F63" s="53">
        <f t="shared" si="0"/>
        <v>6.2154696132596676</v>
      </c>
    </row>
    <row r="64" spans="1:6" x14ac:dyDescent="0.2">
      <c r="F64" s="52"/>
    </row>
    <row r="65" spans="1:6" x14ac:dyDescent="0.2">
      <c r="A65" s="46" t="s">
        <v>146</v>
      </c>
      <c r="B65" s="46" t="s">
        <v>153</v>
      </c>
      <c r="C65" s="46" t="s">
        <v>158</v>
      </c>
      <c r="D65" s="46">
        <v>74</v>
      </c>
      <c r="E65" s="48" t="s">
        <v>146</v>
      </c>
      <c r="F65" s="52">
        <f t="shared" si="0"/>
        <v>6.0810810810810807</v>
      </c>
    </row>
    <row r="66" spans="1:6" x14ac:dyDescent="0.2">
      <c r="A66" t="s">
        <v>145</v>
      </c>
      <c r="B66" t="s">
        <v>153</v>
      </c>
      <c r="C66" t="s">
        <v>157</v>
      </c>
      <c r="D66">
        <v>88.2</v>
      </c>
      <c r="E66" s="6" t="s">
        <v>145</v>
      </c>
      <c r="F66" s="52">
        <f t="shared" si="0"/>
        <v>5.1020408163265305</v>
      </c>
    </row>
    <row r="67" spans="1:6" x14ac:dyDescent="0.2">
      <c r="A67" s="46" t="s">
        <v>147</v>
      </c>
      <c r="B67" s="46" t="s">
        <v>153</v>
      </c>
      <c r="C67" s="46" t="s">
        <v>156</v>
      </c>
      <c r="D67" s="46">
        <v>78.599999999999994</v>
      </c>
      <c r="E67" s="48" t="s">
        <v>147</v>
      </c>
      <c r="F67" s="52">
        <f t="shared" ref="F67:F74" si="1">D$77/D67</f>
        <v>5.7251908396946565</v>
      </c>
    </row>
    <row r="68" spans="1:6" x14ac:dyDescent="0.2">
      <c r="A68" t="s">
        <v>144</v>
      </c>
      <c r="B68" t="s">
        <v>153</v>
      </c>
      <c r="C68" t="s">
        <v>155</v>
      </c>
      <c r="D68">
        <v>71.599999999999994</v>
      </c>
      <c r="E68" s="6" t="s">
        <v>144</v>
      </c>
      <c r="F68" s="52">
        <f t="shared" si="1"/>
        <v>6.2849162011173192</v>
      </c>
    </row>
    <row r="69" spans="1:6" x14ac:dyDescent="0.2">
      <c r="A69" s="46" t="s">
        <v>142</v>
      </c>
      <c r="B69" s="46" t="s">
        <v>153</v>
      </c>
      <c r="C69" s="46" t="s">
        <v>154</v>
      </c>
      <c r="D69" s="46">
        <v>82.4</v>
      </c>
      <c r="E69" s="48" t="s">
        <v>142</v>
      </c>
      <c r="F69" s="52">
        <f t="shared" si="1"/>
        <v>5.4611650485436893</v>
      </c>
    </row>
    <row r="70" spans="1:6" x14ac:dyDescent="0.2">
      <c r="A70" t="s">
        <v>149</v>
      </c>
      <c r="B70" t="s">
        <v>153</v>
      </c>
      <c r="C70" t="s">
        <v>152</v>
      </c>
      <c r="D70">
        <v>80.2</v>
      </c>
      <c r="E70" s="6" t="s">
        <v>149</v>
      </c>
      <c r="F70" s="52">
        <f t="shared" si="1"/>
        <v>5.6109725685785534</v>
      </c>
    </row>
    <row r="71" spans="1:6" x14ac:dyDescent="0.2">
      <c r="A71" s="46" t="s">
        <v>150</v>
      </c>
      <c r="B71" s="46" t="s">
        <v>153</v>
      </c>
      <c r="C71" s="46" t="s">
        <v>164</v>
      </c>
      <c r="D71" s="46">
        <v>79.400000000000006</v>
      </c>
      <c r="E71" s="48" t="s">
        <v>150</v>
      </c>
      <c r="F71" s="52">
        <f t="shared" si="1"/>
        <v>5.6675062972292185</v>
      </c>
    </row>
    <row r="72" spans="1:6" x14ac:dyDescent="0.2">
      <c r="A72" t="s">
        <v>143</v>
      </c>
      <c r="B72" t="s">
        <v>153</v>
      </c>
      <c r="C72" t="s">
        <v>162</v>
      </c>
      <c r="D72">
        <v>74.599999999999994</v>
      </c>
      <c r="E72" s="6" t="s">
        <v>143</v>
      </c>
      <c r="F72" s="52">
        <f t="shared" si="1"/>
        <v>6.032171581769437</v>
      </c>
    </row>
    <row r="73" spans="1:6" x14ac:dyDescent="0.2">
      <c r="A73" s="46" t="s">
        <v>151</v>
      </c>
      <c r="B73" s="46" t="s">
        <v>153</v>
      </c>
      <c r="C73" s="46" t="s">
        <v>287</v>
      </c>
      <c r="D73" s="46">
        <v>68.8</v>
      </c>
      <c r="E73" s="48" t="s">
        <v>151</v>
      </c>
      <c r="F73" s="52">
        <f t="shared" si="1"/>
        <v>6.5406976744186052</v>
      </c>
    </row>
    <row r="74" spans="1:6" ht="17" thickBot="1" x14ac:dyDescent="0.25">
      <c r="A74" s="29" t="s">
        <v>148</v>
      </c>
      <c r="B74" s="29" t="s">
        <v>153</v>
      </c>
      <c r="C74" s="29" t="s">
        <v>286</v>
      </c>
      <c r="D74" s="29">
        <v>79.599999999999994</v>
      </c>
      <c r="E74" s="49" t="s">
        <v>148</v>
      </c>
      <c r="F74" s="53">
        <f t="shared" si="1"/>
        <v>5.6532663316582923</v>
      </c>
    </row>
    <row r="76" spans="1:6" x14ac:dyDescent="0.2">
      <c r="C76" t="s">
        <v>288</v>
      </c>
      <c r="D76">
        <f>MAX(D2:D60)</f>
        <v>90</v>
      </c>
    </row>
    <row r="77" spans="1:6" x14ac:dyDescent="0.2">
      <c r="C77" t="s">
        <v>289</v>
      </c>
      <c r="D77">
        <f>5*D76</f>
        <v>450</v>
      </c>
      <c r="F77" s="58">
        <f>SUM(F2:F74)</f>
        <v>408.53503290131323</v>
      </c>
    </row>
    <row r="81" spans="7:7" x14ac:dyDescent="0.2">
      <c r="G81">
        <f>(490*1)/6</f>
        <v>81.666666666666671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32D0-8EDB-2B43-8C9A-B51D2912148A}">
  <dimension ref="A1:F4"/>
  <sheetViews>
    <sheetView workbookViewId="0">
      <selection activeCell="J21" sqref="J21"/>
    </sheetView>
  </sheetViews>
  <sheetFormatPr baseColWidth="10" defaultRowHeight="16" x14ac:dyDescent="0.2"/>
  <sheetData>
    <row r="1" spans="1:6" x14ac:dyDescent="0.2">
      <c r="A1" t="s">
        <v>290</v>
      </c>
      <c r="B1" t="s">
        <v>291</v>
      </c>
      <c r="C1" t="s">
        <v>292</v>
      </c>
    </row>
    <row r="2" spans="1:6" x14ac:dyDescent="0.2">
      <c r="A2">
        <v>44.7</v>
      </c>
      <c r="B2">
        <v>207</v>
      </c>
      <c r="C2">
        <v>327.18</v>
      </c>
      <c r="F2">
        <f>C2/A2</f>
        <v>7.3194630872483222</v>
      </c>
    </row>
    <row r="3" spans="1:6" x14ac:dyDescent="0.2">
      <c r="A3">
        <v>2</v>
      </c>
      <c r="B3">
        <v>207</v>
      </c>
      <c r="C3">
        <v>14.64</v>
      </c>
      <c r="F3">
        <f t="shared" ref="F3:F4" si="0">C3/A3</f>
        <v>7.32</v>
      </c>
    </row>
    <row r="4" spans="1:6" x14ac:dyDescent="0.2">
      <c r="A4">
        <v>0.27300000000000002</v>
      </c>
      <c r="B4">
        <v>207</v>
      </c>
      <c r="C4">
        <v>2</v>
      </c>
      <c r="F4">
        <f t="shared" si="0"/>
        <v>7.3260073260073257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MC1_DayNight</vt:lpstr>
      <vt:lpstr>MC2</vt:lpstr>
      <vt:lpstr>Sheet2</vt:lpstr>
      <vt:lpstr>Primer inventory </vt:lpstr>
      <vt:lpstr>Code_to_i5-i7</vt:lpstr>
      <vt:lpstr>Pool conc calc</vt:lpstr>
      <vt:lpstr>Sheet3</vt:lpstr>
      <vt:lpstr>MC1_DayNight!Print_Area</vt:lpstr>
      <vt:lpstr>'MC2'!Print_Area</vt:lpstr>
      <vt:lpstr>'Pool conc calc'!Print_Area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Axel Knave</dc:creator>
  <dc:description/>
  <cp:lastModifiedBy>Axel Knave</cp:lastModifiedBy>
  <cp:revision>2</cp:revision>
  <cp:lastPrinted>2024-11-07T17:53:08Z</cp:lastPrinted>
  <dcterms:created xsi:type="dcterms:W3CDTF">2024-10-22T09:21:23Z</dcterms:created>
  <dcterms:modified xsi:type="dcterms:W3CDTF">2024-11-08T16:28:05Z</dcterms:modified>
  <dc:language>en-US</dc:language>
</cp:coreProperties>
</file>